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Codex-Temp\260612-【ai大赛】-管勘智算-V2.0\03-知识库-二维数据库制作\"/>
    </mc:Choice>
  </mc:AlternateContent>
  <xr:revisionPtr revIDLastSave="0" documentId="13_ncr:1_{94037F49-9991-4311-9922-4277DFDB1EF7}" xr6:coauthVersionLast="47" xr6:coauthVersionMax="47" xr10:uidLastSave="{00000000-0000-0000-0000-000000000000}"/>
  <bookViews>
    <workbookView xWindow="30612" yWindow="-108" windowWidth="30936" windowHeight="16776" activeTab="2" xr2:uid="{EB93DAF8-A9BF-4A7E-93ED-BF97D34ABE36}"/>
  </bookViews>
  <sheets>
    <sheet name="费用汇总" sheetId="10" r:id="rId1"/>
    <sheet name="表1-长输管道工程勘测费用" sheetId="5" r:id="rId2"/>
    <sheet name="表2-通用工程测量费用" sheetId="6" r:id="rId3"/>
    <sheet name="表3-地质测绘" sheetId="13" r:id="rId4"/>
    <sheet name="表4-通用工程勘察费用" sheetId="1" r:id="rId5"/>
    <sheet name="表5-其他费用" sheetId="12" r:id="rId6"/>
  </sheets>
  <definedNames>
    <definedName name="_xlnm._FilterDatabase" localSheetId="2">'表2-通用工程测量费用'!$A$3:$AP$50</definedName>
    <definedName name="_xlnm._FilterDatabase" localSheetId="3">'表3-地质测绘'!$A$3:$AT$3</definedName>
    <definedName name="_xlnm._FilterDatabase" localSheetId="4">'表4-通用工程勘察费用'!$A$3:$AT$209</definedName>
    <definedName name="_xlnm.Print_Area" localSheetId="2">'表2-通用工程测量费用'!$A$1:$P$49</definedName>
    <definedName name="_xlnm.Print_Area" localSheetId="3">'表3-地质测绘'!$A$1:$T$13</definedName>
    <definedName name="_xlnm.Print_Area" localSheetId="5">'表5-其他费用'!$A$1:$R$17</definedName>
    <definedName name="_xlnm.Print_Area" localSheetId="0">费用汇总!$A$1:$D$14</definedName>
    <definedName name="_xlnm.Print_Titles" localSheetId="2">'表2-通用工程测量费用'!$1:$3</definedName>
    <definedName name="_xlnm.Print_Titles" localSheetId="4">'表4-通用工程勘察费用'!$1:$3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" i="6" l="1"/>
  <c r="AB6" i="6"/>
  <c r="AA7" i="6"/>
  <c r="AB7" i="6"/>
  <c r="AA8" i="6"/>
  <c r="AB8" i="6"/>
  <c r="AA9" i="6"/>
  <c r="AB9" i="6"/>
  <c r="AA10" i="6"/>
  <c r="AB10" i="6"/>
  <c r="AA11" i="6"/>
  <c r="AB11" i="6"/>
  <c r="AA12" i="6"/>
  <c r="AB12" i="6"/>
  <c r="AA13" i="6"/>
  <c r="AB13" i="6"/>
  <c r="AA14" i="6"/>
  <c r="AB14" i="6"/>
  <c r="AA15" i="6"/>
  <c r="AB15" i="6"/>
  <c r="Z16" i="6"/>
  <c r="AA16" i="6"/>
  <c r="AB16" i="6"/>
  <c r="AA17" i="6"/>
  <c r="AB17" i="6"/>
  <c r="AA18" i="6"/>
  <c r="AB18" i="6"/>
  <c r="AA19" i="6"/>
  <c r="AB19" i="6"/>
  <c r="AA20" i="6"/>
  <c r="AB20" i="6"/>
  <c r="AA21" i="6"/>
  <c r="AB21" i="6"/>
  <c r="AA22" i="6"/>
  <c r="AB22" i="6"/>
  <c r="AA23" i="6"/>
  <c r="AB23" i="6"/>
  <c r="AA24" i="6"/>
  <c r="AB24" i="6"/>
  <c r="AA25" i="6"/>
  <c r="AB25" i="6"/>
  <c r="AA26" i="6"/>
  <c r="AB26" i="6"/>
  <c r="AA27" i="6"/>
  <c r="AB27" i="6"/>
  <c r="AA28" i="6"/>
  <c r="AB28" i="6"/>
  <c r="AA29" i="6"/>
  <c r="AB29" i="6"/>
  <c r="AA30" i="6"/>
  <c r="AB30" i="6"/>
  <c r="AA31" i="6"/>
  <c r="AB31" i="6"/>
  <c r="AA32" i="6"/>
  <c r="AB32" i="6"/>
  <c r="AA33" i="6"/>
  <c r="AB33" i="6"/>
  <c r="AA34" i="6"/>
  <c r="AB34" i="6"/>
  <c r="AA35" i="6"/>
  <c r="AB35" i="6"/>
  <c r="AA36" i="6"/>
  <c r="AB36" i="6"/>
  <c r="AA37" i="6"/>
  <c r="AB37" i="6"/>
  <c r="AA38" i="6"/>
  <c r="AB38" i="6"/>
  <c r="AA39" i="6"/>
  <c r="AB39" i="6"/>
  <c r="AA40" i="6"/>
  <c r="AB40" i="6"/>
  <c r="AA41" i="6"/>
  <c r="AB41" i="6"/>
  <c r="AA42" i="6"/>
  <c r="AB42" i="6"/>
  <c r="AA43" i="6"/>
  <c r="AB43" i="6"/>
  <c r="AA44" i="6"/>
  <c r="AB44" i="6"/>
  <c r="AA45" i="6"/>
  <c r="AB45" i="6"/>
  <c r="AA46" i="6"/>
  <c r="AB46" i="6"/>
  <c r="AA47" i="6"/>
  <c r="AB47" i="6"/>
  <c r="AA48" i="6"/>
  <c r="AB48" i="6"/>
  <c r="Z49" i="6"/>
  <c r="AA49" i="6"/>
  <c r="AB49" i="6"/>
  <c r="AB5" i="6"/>
  <c r="AA5" i="6"/>
  <c r="AE6" i="13"/>
  <c r="AE7" i="13"/>
  <c r="AE8" i="13"/>
  <c r="AE9" i="13"/>
  <c r="AE10" i="13"/>
  <c r="AE11" i="13"/>
  <c r="AE12" i="13"/>
  <c r="AD13" i="13"/>
  <c r="AE13" i="13"/>
  <c r="AF13" i="13"/>
  <c r="AE5" i="13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D24" i="1"/>
  <c r="AE24" i="1"/>
  <c r="AD25" i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E31" i="1"/>
  <c r="AD32" i="1"/>
  <c r="AE32" i="1"/>
  <c r="AD33" i="1"/>
  <c r="AE33" i="1"/>
  <c r="AD34" i="1"/>
  <c r="AE34" i="1"/>
  <c r="AD35" i="1"/>
  <c r="AE35" i="1"/>
  <c r="AD36" i="1"/>
  <c r="AE36" i="1"/>
  <c r="AD37" i="1"/>
  <c r="AE37" i="1"/>
  <c r="AD38" i="1"/>
  <c r="AE38" i="1"/>
  <c r="AD39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D64" i="1"/>
  <c r="AE64" i="1"/>
  <c r="AD65" i="1"/>
  <c r="AE65" i="1"/>
  <c r="AD66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D85" i="1"/>
  <c r="AE85" i="1"/>
  <c r="AD86" i="1"/>
  <c r="AE86" i="1"/>
  <c r="AD87" i="1"/>
  <c r="AE87" i="1"/>
  <c r="AD88" i="1"/>
  <c r="AE88" i="1"/>
  <c r="AD89" i="1"/>
  <c r="AE89" i="1"/>
  <c r="AD90" i="1"/>
  <c r="AE90" i="1"/>
  <c r="AD91" i="1"/>
  <c r="AE91" i="1"/>
  <c r="AD92" i="1"/>
  <c r="AE92" i="1"/>
  <c r="AD93" i="1"/>
  <c r="AE93" i="1"/>
  <c r="AD94" i="1"/>
  <c r="AE94" i="1"/>
  <c r="AE95" i="1"/>
  <c r="AF95" i="1"/>
  <c r="AE96" i="1"/>
  <c r="AF96" i="1"/>
  <c r="AE97" i="1"/>
  <c r="AF97" i="1"/>
  <c r="AD98" i="1"/>
  <c r="AE98" i="1"/>
  <c r="AD99" i="1"/>
  <c r="AE99" i="1"/>
  <c r="AD100" i="1"/>
  <c r="AE100" i="1"/>
  <c r="AD101" i="1"/>
  <c r="AE101" i="1"/>
  <c r="AD102" i="1"/>
  <c r="AE102" i="1"/>
  <c r="AD103" i="1"/>
  <c r="AE103" i="1"/>
  <c r="AD104" i="1"/>
  <c r="AE104" i="1"/>
  <c r="AD105" i="1"/>
  <c r="AE105" i="1"/>
  <c r="AD106" i="1"/>
  <c r="AE106" i="1"/>
  <c r="AD107" i="1"/>
  <c r="AE107" i="1"/>
  <c r="AD108" i="1"/>
  <c r="AE108" i="1"/>
  <c r="AE109" i="1"/>
  <c r="AD110" i="1"/>
  <c r="AE110" i="1"/>
  <c r="AD111" i="1"/>
  <c r="AE111" i="1"/>
  <c r="AD112" i="1"/>
  <c r="AE112" i="1"/>
  <c r="AD113" i="1"/>
  <c r="AE113" i="1"/>
  <c r="AF113" i="1"/>
  <c r="AD114" i="1"/>
  <c r="AE114" i="1"/>
  <c r="AD115" i="1"/>
  <c r="AE115" i="1"/>
  <c r="AD116" i="1"/>
  <c r="AE116" i="1"/>
  <c r="AD117" i="1"/>
  <c r="AE117" i="1"/>
  <c r="AD118" i="1"/>
  <c r="AE118" i="1"/>
  <c r="AD119" i="1"/>
  <c r="AE119" i="1"/>
  <c r="AD120" i="1"/>
  <c r="AE120" i="1"/>
  <c r="AD121" i="1"/>
  <c r="AE121" i="1"/>
  <c r="AD122" i="1"/>
  <c r="AE122" i="1"/>
  <c r="AD123" i="1"/>
  <c r="AE123" i="1"/>
  <c r="AD124" i="1"/>
  <c r="AE124" i="1"/>
  <c r="AD125" i="1"/>
  <c r="AE125" i="1"/>
  <c r="AD126" i="1"/>
  <c r="AE126" i="1"/>
  <c r="AD127" i="1"/>
  <c r="AE127" i="1"/>
  <c r="AD128" i="1"/>
  <c r="AE128" i="1"/>
  <c r="AD129" i="1"/>
  <c r="AE129" i="1"/>
  <c r="AD130" i="1"/>
  <c r="AE130" i="1"/>
  <c r="AD131" i="1"/>
  <c r="AE131" i="1"/>
  <c r="AE132" i="1"/>
  <c r="AE133" i="1"/>
  <c r="AE134" i="1"/>
  <c r="AE135" i="1"/>
  <c r="AE136" i="1"/>
  <c r="AD137" i="1"/>
  <c r="AE137" i="1"/>
  <c r="AD138" i="1"/>
  <c r="AE138" i="1"/>
  <c r="AE139" i="1"/>
  <c r="AD140" i="1"/>
  <c r="AE140" i="1"/>
  <c r="AD141" i="1"/>
  <c r="AE141" i="1"/>
  <c r="AD142" i="1"/>
  <c r="AE142" i="1"/>
  <c r="AD143" i="1"/>
  <c r="AE143" i="1"/>
  <c r="AD144" i="1"/>
  <c r="AE144" i="1"/>
  <c r="AD145" i="1"/>
  <c r="AE145" i="1"/>
  <c r="AD146" i="1"/>
  <c r="AE146" i="1"/>
  <c r="AD147" i="1"/>
  <c r="AE147" i="1"/>
  <c r="AD148" i="1"/>
  <c r="AE148" i="1"/>
  <c r="AD149" i="1"/>
  <c r="AE149" i="1"/>
  <c r="AD150" i="1"/>
  <c r="AE150" i="1"/>
  <c r="AD151" i="1"/>
  <c r="AE151" i="1"/>
  <c r="AD152" i="1"/>
  <c r="AE152" i="1"/>
  <c r="AD153" i="1"/>
  <c r="AE153" i="1"/>
  <c r="AD154" i="1"/>
  <c r="AE154" i="1"/>
  <c r="AD155" i="1"/>
  <c r="AE155" i="1"/>
  <c r="AD156" i="1"/>
  <c r="AE156" i="1"/>
  <c r="AD157" i="1"/>
  <c r="AE157" i="1"/>
  <c r="AD158" i="1"/>
  <c r="AE158" i="1"/>
  <c r="AD159" i="1"/>
  <c r="AE159" i="1"/>
  <c r="AD160" i="1"/>
  <c r="AE160" i="1"/>
  <c r="AD161" i="1"/>
  <c r="AE161" i="1"/>
  <c r="AD162" i="1"/>
  <c r="AE162" i="1"/>
  <c r="AD163" i="1"/>
  <c r="AE163" i="1"/>
  <c r="AD164" i="1"/>
  <c r="AE164" i="1"/>
  <c r="AD165" i="1"/>
  <c r="AE165" i="1"/>
  <c r="AD166" i="1"/>
  <c r="AE166" i="1"/>
  <c r="AD167" i="1"/>
  <c r="AE167" i="1"/>
  <c r="AD168" i="1"/>
  <c r="AE168" i="1"/>
  <c r="AD169" i="1"/>
  <c r="AE169" i="1"/>
  <c r="AD170" i="1"/>
  <c r="AE170" i="1"/>
  <c r="AD171" i="1"/>
  <c r="AE171" i="1"/>
  <c r="AD172" i="1"/>
  <c r="AE172" i="1"/>
  <c r="AD173" i="1"/>
  <c r="AE173" i="1"/>
  <c r="AD174" i="1"/>
  <c r="AE174" i="1"/>
  <c r="AD175" i="1"/>
  <c r="AE175" i="1"/>
  <c r="AD176" i="1"/>
  <c r="AE176" i="1"/>
  <c r="AD177" i="1"/>
  <c r="AE177" i="1"/>
  <c r="AD178" i="1"/>
  <c r="AE178" i="1"/>
  <c r="AD179" i="1"/>
  <c r="AE179" i="1"/>
  <c r="AD180" i="1"/>
  <c r="AE180" i="1"/>
  <c r="AD181" i="1"/>
  <c r="AE181" i="1"/>
  <c r="AD182" i="1"/>
  <c r="AE182" i="1"/>
  <c r="AD183" i="1"/>
  <c r="AE183" i="1"/>
  <c r="AD184" i="1"/>
  <c r="AE184" i="1"/>
  <c r="AD185" i="1"/>
  <c r="AE185" i="1"/>
  <c r="AD186" i="1"/>
  <c r="AE186" i="1"/>
  <c r="AD187" i="1"/>
  <c r="AE187" i="1"/>
  <c r="AD188" i="1"/>
  <c r="AE188" i="1"/>
  <c r="AD189" i="1"/>
  <c r="AE189" i="1"/>
  <c r="AD190" i="1"/>
  <c r="AE190" i="1"/>
  <c r="AD191" i="1"/>
  <c r="AE191" i="1"/>
  <c r="AD192" i="1"/>
  <c r="AE192" i="1"/>
  <c r="AD193" i="1"/>
  <c r="AE193" i="1"/>
  <c r="AD194" i="1"/>
  <c r="AE194" i="1"/>
  <c r="AD195" i="1"/>
  <c r="AE195" i="1"/>
  <c r="AD196" i="1"/>
  <c r="AE196" i="1"/>
  <c r="AD197" i="1"/>
  <c r="AE197" i="1"/>
  <c r="AD198" i="1"/>
  <c r="AE198" i="1"/>
  <c r="AD199" i="1"/>
  <c r="AE199" i="1"/>
  <c r="AD200" i="1"/>
  <c r="AE200" i="1"/>
  <c r="AD201" i="1"/>
  <c r="AE201" i="1"/>
  <c r="AD202" i="1"/>
  <c r="AE202" i="1"/>
  <c r="AD203" i="1"/>
  <c r="AE203" i="1"/>
  <c r="AD204" i="1"/>
  <c r="AE204" i="1"/>
  <c r="AD205" i="1"/>
  <c r="AE205" i="1"/>
  <c r="AD206" i="1"/>
  <c r="AE206" i="1"/>
  <c r="AD207" i="1"/>
  <c r="AE207" i="1"/>
  <c r="AD208" i="1"/>
  <c r="AE208" i="1"/>
  <c r="AF5" i="1"/>
  <c r="AE5" i="1"/>
  <c r="AD5" i="1"/>
  <c r="AB208" i="1"/>
  <c r="AF208" i="1" s="1"/>
  <c r="AB207" i="1"/>
  <c r="AF207" i="1" s="1"/>
  <c r="AB206" i="1"/>
  <c r="AF206" i="1" s="1"/>
  <c r="AB205" i="1"/>
  <c r="AF205" i="1" s="1"/>
  <c r="AB204" i="1"/>
  <c r="AF204" i="1" s="1"/>
  <c r="AB203" i="1"/>
  <c r="AF203" i="1" s="1"/>
  <c r="AB202" i="1"/>
  <c r="AF202" i="1" s="1"/>
  <c r="AB201" i="1"/>
  <c r="AF201" i="1" s="1"/>
  <c r="AB200" i="1"/>
  <c r="AF200" i="1" s="1"/>
  <c r="AB199" i="1"/>
  <c r="AF199" i="1" s="1"/>
  <c r="AB198" i="1"/>
  <c r="AF198" i="1" s="1"/>
  <c r="AB197" i="1"/>
  <c r="AF197" i="1" s="1"/>
  <c r="AB196" i="1"/>
  <c r="AF196" i="1" s="1"/>
  <c r="AB195" i="1"/>
  <c r="AF195" i="1" s="1"/>
  <c r="AB194" i="1"/>
  <c r="AF194" i="1" s="1"/>
  <c r="AB193" i="1"/>
  <c r="AF193" i="1" s="1"/>
  <c r="AB192" i="1"/>
  <c r="AF192" i="1" s="1"/>
  <c r="AB191" i="1"/>
  <c r="AF191" i="1" s="1"/>
  <c r="AB190" i="1"/>
  <c r="AF190" i="1" s="1"/>
  <c r="AB189" i="1"/>
  <c r="AF189" i="1" s="1"/>
  <c r="AB188" i="1"/>
  <c r="AF188" i="1" s="1"/>
  <c r="AB187" i="1"/>
  <c r="AF187" i="1" s="1"/>
  <c r="AB186" i="1"/>
  <c r="AF186" i="1" s="1"/>
  <c r="AB185" i="1"/>
  <c r="AF185" i="1" s="1"/>
  <c r="AB184" i="1"/>
  <c r="AF184" i="1" s="1"/>
  <c r="AB183" i="1"/>
  <c r="AF183" i="1" s="1"/>
  <c r="AB182" i="1"/>
  <c r="AF182" i="1" s="1"/>
  <c r="AB181" i="1"/>
  <c r="AF181" i="1" s="1"/>
  <c r="AB180" i="1"/>
  <c r="AF180" i="1" s="1"/>
  <c r="AB179" i="1"/>
  <c r="AF179" i="1" s="1"/>
  <c r="AB178" i="1"/>
  <c r="AF178" i="1" s="1"/>
  <c r="AB177" i="1"/>
  <c r="AF177" i="1" s="1"/>
  <c r="AB176" i="1"/>
  <c r="AF176" i="1" s="1"/>
  <c r="AB175" i="1"/>
  <c r="AF175" i="1" s="1"/>
  <c r="AB174" i="1"/>
  <c r="AF174" i="1" s="1"/>
  <c r="AB173" i="1"/>
  <c r="AF173" i="1" s="1"/>
  <c r="AB172" i="1"/>
  <c r="AF172" i="1" s="1"/>
  <c r="AB171" i="1"/>
  <c r="AF171" i="1" s="1"/>
  <c r="AB170" i="1"/>
  <c r="AF170" i="1" s="1"/>
  <c r="AB169" i="1"/>
  <c r="AF169" i="1" s="1"/>
  <c r="AB168" i="1"/>
  <c r="AF168" i="1" s="1"/>
  <c r="AB167" i="1"/>
  <c r="AF167" i="1" s="1"/>
  <c r="AB166" i="1"/>
  <c r="AF166" i="1" s="1"/>
  <c r="AB165" i="1"/>
  <c r="AF165" i="1" s="1"/>
  <c r="AB164" i="1"/>
  <c r="AF164" i="1" s="1"/>
  <c r="AB163" i="1"/>
  <c r="AF163" i="1" s="1"/>
  <c r="AB162" i="1"/>
  <c r="AF162" i="1" s="1"/>
  <c r="AB161" i="1"/>
  <c r="AF161" i="1" s="1"/>
  <c r="AB160" i="1"/>
  <c r="AF160" i="1" s="1"/>
  <c r="AB159" i="1"/>
  <c r="AF159" i="1" s="1"/>
  <c r="AB158" i="1"/>
  <c r="AF158" i="1" s="1"/>
  <c r="AB157" i="1"/>
  <c r="AF157" i="1" s="1"/>
  <c r="AB156" i="1"/>
  <c r="AF156" i="1" s="1"/>
  <c r="AB155" i="1"/>
  <c r="AF155" i="1" s="1"/>
  <c r="AB154" i="1"/>
  <c r="AF154" i="1" s="1"/>
  <c r="AB153" i="1"/>
  <c r="AF153" i="1" s="1"/>
  <c r="AB152" i="1"/>
  <c r="AF152" i="1" s="1"/>
  <c r="AB151" i="1"/>
  <c r="AF151" i="1" s="1"/>
  <c r="AB150" i="1"/>
  <c r="AF150" i="1" s="1"/>
  <c r="AB149" i="1"/>
  <c r="AF149" i="1" s="1"/>
  <c r="AB148" i="1"/>
  <c r="AF148" i="1" s="1"/>
  <c r="AB147" i="1"/>
  <c r="AF147" i="1" s="1"/>
  <c r="AB146" i="1"/>
  <c r="AF146" i="1" s="1"/>
  <c r="AB145" i="1"/>
  <c r="AF145" i="1" s="1"/>
  <c r="AB144" i="1"/>
  <c r="AF144" i="1" s="1"/>
  <c r="AB143" i="1"/>
  <c r="AF143" i="1" s="1"/>
  <c r="AB142" i="1"/>
  <c r="AF142" i="1" s="1"/>
  <c r="AB141" i="1"/>
  <c r="AF141" i="1" s="1"/>
  <c r="AB140" i="1"/>
  <c r="AF140" i="1" s="1"/>
  <c r="AB139" i="1"/>
  <c r="AF139" i="1" s="1"/>
  <c r="AB138" i="1"/>
  <c r="AF138" i="1" s="1"/>
  <c r="AB137" i="1"/>
  <c r="AF137" i="1" s="1"/>
  <c r="AB136" i="1"/>
  <c r="AF136" i="1" s="1"/>
  <c r="AB135" i="1"/>
  <c r="AF135" i="1" s="1"/>
  <c r="AB134" i="1"/>
  <c r="AF134" i="1" s="1"/>
  <c r="AB133" i="1"/>
  <c r="AF133" i="1" s="1"/>
  <c r="AB132" i="1"/>
  <c r="AF132" i="1" s="1"/>
  <c r="AB131" i="1"/>
  <c r="AF131" i="1" s="1"/>
  <c r="AB130" i="1"/>
  <c r="AF130" i="1" s="1"/>
  <c r="AB129" i="1"/>
  <c r="AF129" i="1" s="1"/>
  <c r="AB128" i="1"/>
  <c r="AF128" i="1" s="1"/>
  <c r="AB127" i="1"/>
  <c r="AF127" i="1" s="1"/>
  <c r="AB126" i="1"/>
  <c r="AF126" i="1" s="1"/>
  <c r="AB125" i="1"/>
  <c r="AF125" i="1" s="1"/>
  <c r="AB124" i="1"/>
  <c r="AF124" i="1" s="1"/>
  <c r="AB123" i="1"/>
  <c r="AF123" i="1" s="1"/>
  <c r="AB122" i="1"/>
  <c r="AF122" i="1" s="1"/>
  <c r="AB121" i="1"/>
  <c r="AF121" i="1" s="1"/>
  <c r="AB120" i="1"/>
  <c r="AF120" i="1" s="1"/>
  <c r="AB119" i="1"/>
  <c r="AF119" i="1" s="1"/>
  <c r="AB118" i="1"/>
  <c r="AF118" i="1" s="1"/>
  <c r="AB117" i="1"/>
  <c r="AF117" i="1" s="1"/>
  <c r="AB116" i="1"/>
  <c r="AF116" i="1" s="1"/>
  <c r="AB115" i="1"/>
  <c r="AF115" i="1" s="1"/>
  <c r="AB114" i="1"/>
  <c r="AF114" i="1" s="1"/>
  <c r="AB112" i="1"/>
  <c r="AF112" i="1" s="1"/>
  <c r="AB111" i="1"/>
  <c r="AF111" i="1" s="1"/>
  <c r="AB110" i="1"/>
  <c r="AF110" i="1" s="1"/>
  <c r="AB109" i="1"/>
  <c r="AF109" i="1" s="1"/>
  <c r="AB108" i="1"/>
  <c r="AF108" i="1" s="1"/>
  <c r="AB107" i="1"/>
  <c r="AF107" i="1" s="1"/>
  <c r="AB106" i="1"/>
  <c r="AF106" i="1" s="1"/>
  <c r="AB105" i="1"/>
  <c r="AF105" i="1" s="1"/>
  <c r="AB104" i="1"/>
  <c r="AF104" i="1" s="1"/>
  <c r="AB103" i="1"/>
  <c r="AF103" i="1" s="1"/>
  <c r="AB102" i="1"/>
  <c r="AF102" i="1" s="1"/>
  <c r="AB101" i="1"/>
  <c r="AF101" i="1" s="1"/>
  <c r="AB100" i="1"/>
  <c r="AF100" i="1" s="1"/>
  <c r="AB99" i="1"/>
  <c r="AF99" i="1" s="1"/>
  <c r="AB98" i="1"/>
  <c r="AF98" i="1" s="1"/>
  <c r="AB94" i="1"/>
  <c r="AF94" i="1" s="1"/>
  <c r="AB93" i="1"/>
  <c r="AF93" i="1" s="1"/>
  <c r="AB92" i="1"/>
  <c r="AF92" i="1" s="1"/>
  <c r="AB91" i="1"/>
  <c r="AF91" i="1" s="1"/>
  <c r="AB90" i="1"/>
  <c r="AF90" i="1" s="1"/>
  <c r="AB89" i="1"/>
  <c r="AF89" i="1" s="1"/>
  <c r="AB88" i="1"/>
  <c r="AF88" i="1" s="1"/>
  <c r="AB87" i="1"/>
  <c r="AF87" i="1" s="1"/>
  <c r="AB86" i="1"/>
  <c r="AF86" i="1" s="1"/>
  <c r="AB85" i="1"/>
  <c r="AF85" i="1" s="1"/>
  <c r="AB84" i="1"/>
  <c r="AF84" i="1" s="1"/>
  <c r="AB83" i="1"/>
  <c r="AF83" i="1" s="1"/>
  <c r="AB82" i="1"/>
  <c r="AF82" i="1" s="1"/>
  <c r="AB81" i="1"/>
  <c r="AF81" i="1" s="1"/>
  <c r="AB80" i="1"/>
  <c r="AF80" i="1" s="1"/>
  <c r="AB79" i="1"/>
  <c r="AF79" i="1" s="1"/>
  <c r="AB78" i="1"/>
  <c r="AF78" i="1" s="1"/>
  <c r="AB77" i="1"/>
  <c r="AF77" i="1" s="1"/>
  <c r="AB76" i="1"/>
  <c r="AF76" i="1" s="1"/>
  <c r="AB75" i="1"/>
  <c r="AF75" i="1" s="1"/>
  <c r="AB74" i="1"/>
  <c r="AF74" i="1" s="1"/>
  <c r="AB73" i="1"/>
  <c r="AF73" i="1" s="1"/>
  <c r="AB72" i="1"/>
  <c r="AF72" i="1" s="1"/>
  <c r="AB71" i="1"/>
  <c r="AF71" i="1" s="1"/>
  <c r="AB70" i="1"/>
  <c r="AF70" i="1" s="1"/>
  <c r="AB69" i="1"/>
  <c r="AF69" i="1" s="1"/>
  <c r="AB68" i="1"/>
  <c r="AF68" i="1" s="1"/>
  <c r="AB67" i="1"/>
  <c r="AF67" i="1" s="1"/>
  <c r="AB66" i="1"/>
  <c r="AF66" i="1" s="1"/>
  <c r="AB65" i="1"/>
  <c r="AF65" i="1" s="1"/>
  <c r="AB64" i="1"/>
  <c r="AF64" i="1" s="1"/>
  <c r="AB63" i="1"/>
  <c r="AF63" i="1" s="1"/>
  <c r="AB62" i="1"/>
  <c r="AF62" i="1" s="1"/>
  <c r="AB61" i="1"/>
  <c r="AF61" i="1" s="1"/>
  <c r="AB60" i="1"/>
  <c r="AF60" i="1" s="1"/>
  <c r="AB59" i="1"/>
  <c r="AF59" i="1" s="1"/>
  <c r="AB58" i="1"/>
  <c r="AF58" i="1" s="1"/>
  <c r="AB57" i="1"/>
  <c r="AF57" i="1" s="1"/>
  <c r="AB56" i="1"/>
  <c r="AF56" i="1" s="1"/>
  <c r="AB55" i="1"/>
  <c r="AF55" i="1" s="1"/>
  <c r="AB54" i="1"/>
  <c r="AF54" i="1" s="1"/>
  <c r="AB53" i="1"/>
  <c r="AF53" i="1" s="1"/>
  <c r="AB52" i="1"/>
  <c r="AF52" i="1" s="1"/>
  <c r="AB51" i="1"/>
  <c r="AF51" i="1" s="1"/>
  <c r="AB50" i="1"/>
  <c r="AF50" i="1" s="1"/>
  <c r="AB49" i="1"/>
  <c r="AF49" i="1" s="1"/>
  <c r="AB48" i="1"/>
  <c r="AF48" i="1" s="1"/>
  <c r="AB47" i="1"/>
  <c r="AF47" i="1" s="1"/>
  <c r="AB46" i="1"/>
  <c r="AF46" i="1" s="1"/>
  <c r="AB45" i="1"/>
  <c r="AF45" i="1" s="1"/>
  <c r="AB44" i="1"/>
  <c r="AF44" i="1" s="1"/>
  <c r="AB43" i="1"/>
  <c r="AF43" i="1" s="1"/>
  <c r="AB42" i="1"/>
  <c r="AF42" i="1" s="1"/>
  <c r="AB41" i="1"/>
  <c r="AF41" i="1" s="1"/>
  <c r="AB40" i="1"/>
  <c r="AF40" i="1" s="1"/>
  <c r="AB39" i="1"/>
  <c r="AF39" i="1" s="1"/>
  <c r="AB38" i="1"/>
  <c r="AF38" i="1" s="1"/>
  <c r="AB37" i="1"/>
  <c r="AF37" i="1" s="1"/>
  <c r="AB36" i="1"/>
  <c r="AF36" i="1" s="1"/>
  <c r="AB35" i="1"/>
  <c r="AF35" i="1" s="1"/>
  <c r="AB34" i="1"/>
  <c r="AF34" i="1" s="1"/>
  <c r="AB33" i="1"/>
  <c r="AF33" i="1" s="1"/>
  <c r="AB32" i="1"/>
  <c r="AF32" i="1" s="1"/>
  <c r="AB31" i="1"/>
  <c r="AF31" i="1" s="1"/>
  <c r="AB30" i="1"/>
  <c r="AF30" i="1" s="1"/>
  <c r="AB29" i="1"/>
  <c r="AF29" i="1" s="1"/>
  <c r="AB28" i="1"/>
  <c r="AF28" i="1" s="1"/>
  <c r="AB27" i="1"/>
  <c r="AF27" i="1" s="1"/>
  <c r="AB26" i="1"/>
  <c r="AF26" i="1" s="1"/>
  <c r="AB25" i="1"/>
  <c r="AF25" i="1" s="1"/>
  <c r="AB24" i="1"/>
  <c r="AF24" i="1" s="1"/>
  <c r="AB23" i="1"/>
  <c r="AF23" i="1" s="1"/>
  <c r="AB22" i="1"/>
  <c r="AF22" i="1" s="1"/>
  <c r="AB21" i="1"/>
  <c r="AF21" i="1" s="1"/>
  <c r="AB20" i="1"/>
  <c r="AF20" i="1" s="1"/>
  <c r="AB19" i="1"/>
  <c r="AF19" i="1" s="1"/>
  <c r="AB18" i="1"/>
  <c r="AF18" i="1" s="1"/>
  <c r="AB17" i="1"/>
  <c r="AF17" i="1" s="1"/>
  <c r="AB16" i="1"/>
  <c r="AF16" i="1" s="1"/>
  <c r="AB15" i="1"/>
  <c r="AF15" i="1" s="1"/>
  <c r="AB14" i="1"/>
  <c r="AF14" i="1" s="1"/>
  <c r="AB13" i="1"/>
  <c r="AF13" i="1" s="1"/>
  <c r="AB12" i="1"/>
  <c r="AF12" i="1" s="1"/>
  <c r="AB11" i="1"/>
  <c r="AF11" i="1" s="1"/>
  <c r="AB10" i="1"/>
  <c r="AF10" i="1" s="1"/>
  <c r="AB9" i="1"/>
  <c r="AF9" i="1" s="1"/>
  <c r="AB8" i="1"/>
  <c r="AF8" i="1" s="1"/>
  <c r="AB7" i="1"/>
  <c r="AF7" i="1" s="1"/>
  <c r="AB6" i="1"/>
  <c r="AF6" i="1" s="1"/>
  <c r="AB12" i="13"/>
  <c r="AF12" i="13" s="1"/>
  <c r="AB11" i="13"/>
  <c r="AF11" i="13" s="1"/>
  <c r="AB10" i="13"/>
  <c r="AF10" i="13" s="1"/>
  <c r="AB9" i="13"/>
  <c r="AF9" i="13" s="1"/>
  <c r="AB8" i="13"/>
  <c r="AF8" i="13" s="1"/>
  <c r="AB7" i="13"/>
  <c r="AF7" i="13" s="1"/>
  <c r="AB6" i="13"/>
  <c r="AF6" i="13" s="1"/>
  <c r="AB5" i="13"/>
  <c r="AF5" i="13" s="1"/>
  <c r="T48" i="6"/>
  <c r="Z48" i="6" s="1"/>
  <c r="T47" i="6"/>
  <c r="Z47" i="6" s="1"/>
  <c r="T46" i="6"/>
  <c r="Z46" i="6" s="1"/>
  <c r="T45" i="6"/>
  <c r="Z45" i="6" s="1"/>
  <c r="T44" i="6"/>
  <c r="Z44" i="6" s="1"/>
  <c r="T43" i="6"/>
  <c r="Z43" i="6" s="1"/>
  <c r="T42" i="6"/>
  <c r="Z42" i="6" s="1"/>
  <c r="T41" i="6"/>
  <c r="Z41" i="6" s="1"/>
  <c r="T40" i="6"/>
  <c r="Z40" i="6" s="1"/>
  <c r="T39" i="6"/>
  <c r="Z39" i="6" s="1"/>
  <c r="T38" i="6"/>
  <c r="Z38" i="6" s="1"/>
  <c r="T37" i="6"/>
  <c r="Z37" i="6" s="1"/>
  <c r="T36" i="6"/>
  <c r="Z36" i="6" s="1"/>
  <c r="T35" i="6"/>
  <c r="Z35" i="6" s="1"/>
  <c r="T34" i="6"/>
  <c r="Z34" i="6" s="1"/>
  <c r="T33" i="6"/>
  <c r="Z33" i="6" s="1"/>
  <c r="T32" i="6"/>
  <c r="Z32" i="6" s="1"/>
  <c r="T31" i="6"/>
  <c r="Z31" i="6" s="1"/>
  <c r="T30" i="6"/>
  <c r="Z30" i="6" s="1"/>
  <c r="T29" i="6"/>
  <c r="Z29" i="6" s="1"/>
  <c r="T28" i="6"/>
  <c r="Z28" i="6" s="1"/>
  <c r="T27" i="6"/>
  <c r="Z27" i="6" s="1"/>
  <c r="T26" i="6"/>
  <c r="Z26" i="6" s="1"/>
  <c r="T25" i="6"/>
  <c r="Z25" i="6" s="1"/>
  <c r="T24" i="6"/>
  <c r="Z24" i="6" s="1"/>
  <c r="T23" i="6"/>
  <c r="Z23" i="6" s="1"/>
  <c r="T22" i="6"/>
  <c r="Z22" i="6" s="1"/>
  <c r="T21" i="6"/>
  <c r="Z21" i="6" s="1"/>
  <c r="T20" i="6"/>
  <c r="Z20" i="6" s="1"/>
  <c r="T19" i="6"/>
  <c r="Z19" i="6" s="1"/>
  <c r="T18" i="6"/>
  <c r="Z18" i="6" s="1"/>
  <c r="T17" i="6"/>
  <c r="Z17" i="6" s="1"/>
  <c r="T15" i="6"/>
  <c r="Z15" i="6" s="1"/>
  <c r="T14" i="6"/>
  <c r="Z14" i="6" s="1"/>
  <c r="T13" i="6"/>
  <c r="Z13" i="6" s="1"/>
  <c r="T12" i="6"/>
  <c r="Z12" i="6" s="1"/>
  <c r="T11" i="6"/>
  <c r="Z11" i="6" s="1"/>
  <c r="T10" i="6"/>
  <c r="Z10" i="6" s="1"/>
  <c r="T9" i="6"/>
  <c r="Z9" i="6" s="1"/>
  <c r="T8" i="6"/>
  <c r="Z8" i="6" s="1"/>
  <c r="T7" i="6"/>
  <c r="Z7" i="6" s="1"/>
  <c r="T6" i="6"/>
  <c r="Z6" i="6" s="1"/>
  <c r="T5" i="6"/>
  <c r="Z5" i="6" s="1"/>
  <c r="X139" i="1"/>
  <c r="AD139" i="1" s="1"/>
  <c r="X136" i="1"/>
  <c r="AD136" i="1" s="1"/>
  <c r="X135" i="1"/>
  <c r="AD135" i="1" s="1"/>
  <c r="X134" i="1"/>
  <c r="AD134" i="1" s="1"/>
  <c r="X133" i="1"/>
  <c r="AD133" i="1" s="1"/>
  <c r="X132" i="1"/>
  <c r="AD132" i="1" s="1"/>
  <c r="X109" i="1"/>
  <c r="AD109" i="1" s="1"/>
  <c r="X97" i="1"/>
  <c r="AD97" i="1" s="1"/>
  <c r="X96" i="1"/>
  <c r="AD96" i="1" s="1"/>
  <c r="X95" i="1"/>
  <c r="AD95" i="1" s="1"/>
  <c r="X84" i="1"/>
  <c r="AD84" i="1" s="1"/>
  <c r="X83" i="1"/>
  <c r="AD83" i="1" s="1"/>
  <c r="X82" i="1"/>
  <c r="AD82" i="1" s="1"/>
  <c r="X81" i="1"/>
  <c r="AD81" i="1" s="1"/>
  <c r="X80" i="1"/>
  <c r="AD80" i="1" s="1"/>
  <c r="X79" i="1"/>
  <c r="AD79" i="1" s="1"/>
  <c r="X78" i="1"/>
  <c r="AD78" i="1" s="1"/>
  <c r="X77" i="1"/>
  <c r="AD77" i="1" s="1"/>
  <c r="X76" i="1"/>
  <c r="AD76" i="1" s="1"/>
  <c r="X75" i="1"/>
  <c r="AD75" i="1" s="1"/>
  <c r="X74" i="1"/>
  <c r="AD74" i="1" s="1"/>
  <c r="X73" i="1"/>
  <c r="AD73" i="1" s="1"/>
  <c r="X72" i="1"/>
  <c r="AD72" i="1" s="1"/>
  <c r="X71" i="1"/>
  <c r="AD71" i="1" s="1"/>
  <c r="X70" i="1"/>
  <c r="AD70" i="1" s="1"/>
  <c r="X69" i="1"/>
  <c r="AD69" i="1" s="1"/>
  <c r="X68" i="1"/>
  <c r="AD68" i="1" s="1"/>
  <c r="X67" i="1"/>
  <c r="AD67" i="1" s="1"/>
  <c r="X63" i="1"/>
  <c r="AD63" i="1" s="1"/>
  <c r="X62" i="1"/>
  <c r="AD62" i="1" s="1"/>
  <c r="X61" i="1"/>
  <c r="AD61" i="1" s="1"/>
  <c r="X60" i="1"/>
  <c r="AD60" i="1" s="1"/>
  <c r="X59" i="1"/>
  <c r="AD59" i="1" s="1"/>
  <c r="X58" i="1"/>
  <c r="AD58" i="1" s="1"/>
  <c r="X57" i="1"/>
  <c r="AD57" i="1" s="1"/>
  <c r="X56" i="1"/>
  <c r="AD56" i="1" s="1"/>
  <c r="X55" i="1"/>
  <c r="AD55" i="1" s="1"/>
  <c r="X54" i="1"/>
  <c r="AD54" i="1" s="1"/>
  <c r="X53" i="1"/>
  <c r="AD53" i="1" s="1"/>
  <c r="X52" i="1"/>
  <c r="AD52" i="1" s="1"/>
  <c r="X51" i="1"/>
  <c r="AD51" i="1" s="1"/>
  <c r="X50" i="1"/>
  <c r="AD50" i="1" s="1"/>
  <c r="X49" i="1"/>
  <c r="AD49" i="1" s="1"/>
  <c r="X48" i="1"/>
  <c r="AD48" i="1" s="1"/>
  <c r="X47" i="1"/>
  <c r="AD47" i="1" s="1"/>
  <c r="X46" i="1"/>
  <c r="AD46" i="1" s="1"/>
  <c r="X45" i="1"/>
  <c r="AD45" i="1" s="1"/>
  <c r="X44" i="1"/>
  <c r="AD44" i="1" s="1"/>
  <c r="X43" i="1"/>
  <c r="AD43" i="1" s="1"/>
  <c r="X42" i="1"/>
  <c r="AD42" i="1" s="1"/>
  <c r="X41" i="1"/>
  <c r="AD41" i="1" s="1"/>
  <c r="X40" i="1"/>
  <c r="AD40" i="1" s="1"/>
  <c r="X23" i="1"/>
  <c r="AD23" i="1" s="1"/>
  <c r="X22" i="1"/>
  <c r="AD22" i="1" s="1"/>
  <c r="X21" i="1"/>
  <c r="AD21" i="1" s="1"/>
  <c r="X20" i="1"/>
  <c r="AD20" i="1" s="1"/>
  <c r="X19" i="1"/>
  <c r="AD19" i="1" s="1"/>
  <c r="X18" i="1"/>
  <c r="AD18" i="1" s="1"/>
  <c r="X17" i="1"/>
  <c r="AD17" i="1" s="1"/>
  <c r="X16" i="1"/>
  <c r="AD16" i="1" s="1"/>
  <c r="X15" i="1"/>
  <c r="AD15" i="1" s="1"/>
  <c r="X14" i="1"/>
  <c r="AD14" i="1" s="1"/>
  <c r="X13" i="1"/>
  <c r="AD13" i="1" s="1"/>
  <c r="X12" i="1"/>
  <c r="AD12" i="1" s="1"/>
  <c r="X11" i="1"/>
  <c r="AD11" i="1" s="1"/>
  <c r="X10" i="1"/>
  <c r="AD10" i="1" s="1"/>
  <c r="X9" i="1"/>
  <c r="AD9" i="1" s="1"/>
  <c r="X8" i="1"/>
  <c r="AD8" i="1" s="1"/>
  <c r="X7" i="1"/>
  <c r="AD7" i="1" s="1"/>
  <c r="X6" i="1"/>
  <c r="AD6" i="1" s="1"/>
  <c r="X12" i="13"/>
  <c r="AD12" i="13" s="1"/>
  <c r="X11" i="13"/>
  <c r="AD11" i="13" s="1"/>
  <c r="X10" i="13"/>
  <c r="AD10" i="13" s="1"/>
  <c r="X9" i="13"/>
  <c r="AD9" i="13" s="1"/>
  <c r="X8" i="13"/>
  <c r="AD8" i="13" s="1"/>
  <c r="X7" i="13"/>
  <c r="AD7" i="13" s="1"/>
  <c r="X6" i="13"/>
  <c r="AD6" i="13" s="1"/>
  <c r="X5" i="13"/>
  <c r="AD5" i="13" s="1"/>
  <c r="N12" i="13"/>
  <c r="N11" i="13"/>
  <c r="N10" i="13"/>
  <c r="N9" i="13"/>
  <c r="N8" i="13"/>
  <c r="N7" i="13"/>
  <c r="N6" i="13"/>
  <c r="N5" i="13"/>
  <c r="N8" i="1"/>
  <c r="K22" i="6"/>
  <c r="N22" i="6" s="1"/>
  <c r="K5" i="6"/>
  <c r="R17" i="12"/>
  <c r="Q17" i="12"/>
  <c r="N17" i="12"/>
  <c r="R16" i="12"/>
  <c r="N16" i="12"/>
  <c r="R15" i="12"/>
  <c r="N15" i="12"/>
  <c r="R14" i="12"/>
  <c r="N14" i="12"/>
  <c r="R13" i="12"/>
  <c r="N13" i="12"/>
  <c r="R12" i="12"/>
  <c r="N12" i="12"/>
  <c r="R11" i="12"/>
  <c r="N11" i="12"/>
  <c r="R10" i="12"/>
  <c r="N10" i="12"/>
  <c r="R9" i="12"/>
  <c r="N9" i="12"/>
  <c r="R8" i="12"/>
  <c r="N8" i="12"/>
  <c r="R7" i="12"/>
  <c r="N7" i="12"/>
  <c r="R6" i="12"/>
  <c r="N6" i="12"/>
  <c r="R5" i="12"/>
  <c r="N5" i="12"/>
  <c r="R4" i="12"/>
  <c r="N4" i="12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Q113" i="1" s="1"/>
  <c r="R113" i="1" s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Q95" i="1" s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F55" i="1"/>
  <c r="F54" i="1"/>
  <c r="F53" i="1"/>
  <c r="F52" i="1"/>
  <c r="F51" i="1"/>
  <c r="N50" i="1"/>
  <c r="N49" i="1"/>
  <c r="N48" i="1"/>
  <c r="N47" i="1"/>
  <c r="N46" i="1"/>
  <c r="N45" i="1"/>
  <c r="Q45" i="1" s="1"/>
  <c r="R45" i="1" s="1"/>
  <c r="N44" i="1"/>
  <c r="N43" i="1"/>
  <c r="N42" i="1"/>
  <c r="N41" i="1"/>
  <c r="N40" i="1"/>
  <c r="N23" i="1"/>
  <c r="N22" i="1"/>
  <c r="N21" i="1"/>
  <c r="Q21" i="1" s="1"/>
  <c r="R21" i="1" s="1"/>
  <c r="N20" i="1"/>
  <c r="N19" i="1"/>
  <c r="N18" i="1"/>
  <c r="N17" i="1"/>
  <c r="N16" i="1"/>
  <c r="N15" i="1"/>
  <c r="N14" i="1"/>
  <c r="N13" i="1"/>
  <c r="Q13" i="1" s="1"/>
  <c r="R13" i="1" s="1"/>
  <c r="N12" i="1"/>
  <c r="N11" i="1"/>
  <c r="N10" i="1"/>
  <c r="N9" i="1"/>
  <c r="N7" i="1"/>
  <c r="N6" i="1"/>
  <c r="N5" i="1"/>
  <c r="Q5" i="1" s="1"/>
  <c r="R5" i="1" s="1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M35" i="6" s="1"/>
  <c r="N35" i="6" s="1"/>
  <c r="K34" i="6"/>
  <c r="M34" i="6" s="1"/>
  <c r="K33" i="6"/>
  <c r="K32" i="6"/>
  <c r="K31" i="6"/>
  <c r="K30" i="6"/>
  <c r="K29" i="6"/>
  <c r="K28" i="6"/>
  <c r="K27" i="6"/>
  <c r="K26" i="6"/>
  <c r="K25" i="6"/>
  <c r="K24" i="6"/>
  <c r="K23" i="6"/>
  <c r="M23" i="6" s="1"/>
  <c r="N23" i="6" s="1"/>
  <c r="K21" i="6"/>
  <c r="N21" i="6" s="1"/>
  <c r="K20" i="6"/>
  <c r="N20" i="6" s="1"/>
  <c r="K19" i="6"/>
  <c r="N19" i="6" s="1"/>
  <c r="K18" i="6"/>
  <c r="N18" i="6" s="1"/>
  <c r="K17" i="6"/>
  <c r="N17" i="6" s="1"/>
  <c r="K16" i="6"/>
  <c r="N16" i="6" s="1"/>
  <c r="K15" i="6"/>
  <c r="K14" i="6"/>
  <c r="K13" i="6"/>
  <c r="K12" i="6"/>
  <c r="K11" i="6"/>
  <c r="K10" i="6"/>
  <c r="K9" i="6"/>
  <c r="K8" i="6"/>
  <c r="K7" i="6"/>
  <c r="K6" i="6"/>
  <c r="I9" i="5"/>
  <c r="I5" i="5"/>
  <c r="F5" i="5"/>
  <c r="I4" i="5"/>
  <c r="F4" i="5"/>
  <c r="C11" i="10"/>
  <c r="C4" i="10"/>
  <c r="Q40" i="1" l="1"/>
  <c r="Q56" i="1"/>
  <c r="R56" i="1" s="1"/>
  <c r="Q88" i="1"/>
  <c r="R88" i="1" s="1"/>
  <c r="Q66" i="1"/>
  <c r="R66" i="1" s="1"/>
  <c r="Q132" i="1"/>
  <c r="R132" i="1" s="1"/>
  <c r="Q110" i="1"/>
  <c r="R110" i="1" s="1"/>
  <c r="Q208" i="1"/>
  <c r="R208" i="1" s="1"/>
  <c r="Q104" i="1"/>
  <c r="R104" i="1" s="1"/>
  <c r="Q186" i="1"/>
  <c r="R186" i="1" s="1"/>
  <c r="Q91" i="1"/>
  <c r="R91" i="1" s="1"/>
  <c r="Q141" i="1"/>
  <c r="R141" i="1" s="1"/>
  <c r="Q117" i="1"/>
  <c r="R117" i="1" s="1"/>
  <c r="Q125" i="1"/>
  <c r="R125" i="1" s="1"/>
  <c r="Q182" i="1"/>
  <c r="R182" i="1" s="1"/>
  <c r="Q176" i="1"/>
  <c r="R176" i="1" s="1"/>
  <c r="Q120" i="1"/>
  <c r="R120" i="1" s="1"/>
  <c r="Q128" i="1"/>
  <c r="R128" i="1" s="1"/>
  <c r="Q123" i="1"/>
  <c r="R123" i="1" s="1"/>
  <c r="Q202" i="1"/>
  <c r="R202" i="1" s="1"/>
  <c r="Q101" i="1"/>
  <c r="R101" i="1" s="1"/>
  <c r="Q109" i="1"/>
  <c r="R109" i="1" s="1"/>
  <c r="Q183" i="1"/>
  <c r="R183" i="1" s="1"/>
  <c r="Q199" i="1"/>
  <c r="R199" i="1" s="1"/>
  <c r="Q98" i="1"/>
  <c r="R98" i="1" s="1"/>
  <c r="Q129" i="1"/>
  <c r="R129" i="1" s="1"/>
  <c r="Q192" i="1"/>
  <c r="R192" i="1" s="1"/>
  <c r="Q166" i="1"/>
  <c r="R166" i="1" s="1"/>
  <c r="Q114" i="1"/>
  <c r="R114" i="1" s="1"/>
  <c r="Q169" i="1"/>
  <c r="R169" i="1" s="1"/>
  <c r="Q57" i="1"/>
  <c r="R57" i="1" s="1"/>
  <c r="Q179" i="1"/>
  <c r="R179" i="1" s="1"/>
  <c r="Q60" i="1"/>
  <c r="R60" i="1" s="1"/>
  <c r="Q90" i="1"/>
  <c r="R90" i="1" s="1"/>
  <c r="Q137" i="1"/>
  <c r="R137" i="1" s="1"/>
  <c r="Q172" i="1"/>
  <c r="R172" i="1" s="1"/>
  <c r="Q106" i="1"/>
  <c r="R106" i="1" s="1"/>
  <c r="Q173" i="1"/>
  <c r="R173" i="1" s="1"/>
  <c r="Q195" i="1"/>
  <c r="R195" i="1" s="1"/>
  <c r="Q138" i="1"/>
  <c r="R138" i="1" s="1"/>
  <c r="Q189" i="1"/>
  <c r="R189" i="1" s="1"/>
  <c r="Q85" i="1"/>
  <c r="R85" i="1" s="1"/>
  <c r="Q100" i="1"/>
  <c r="R100" i="1" s="1"/>
  <c r="Q107" i="1"/>
  <c r="R107" i="1" s="1"/>
  <c r="Q64" i="1"/>
  <c r="R64" i="1" s="1"/>
  <c r="Q205" i="1"/>
  <c r="R205" i="1" s="1"/>
  <c r="Q167" i="1"/>
  <c r="R167" i="1" s="1"/>
  <c r="Q122" i="1"/>
  <c r="R122" i="1" s="1"/>
  <c r="Q140" i="1"/>
  <c r="R140" i="1" s="1"/>
  <c r="Q112" i="1"/>
  <c r="R112" i="1" s="1"/>
  <c r="Q93" i="1"/>
  <c r="R93" i="1" s="1"/>
  <c r="Q196" i="1"/>
  <c r="R196" i="1" s="1"/>
  <c r="Q126" i="1"/>
  <c r="R126" i="1" s="1"/>
  <c r="Q94" i="1"/>
  <c r="R94" i="1" s="1"/>
  <c r="Q135" i="1"/>
  <c r="R135" i="1" s="1"/>
  <c r="Q163" i="1"/>
  <c r="R163" i="1" s="1"/>
  <c r="Q170" i="1"/>
  <c r="R170" i="1" s="1"/>
  <c r="Q59" i="1"/>
  <c r="R59" i="1" s="1"/>
  <c r="Q116" i="1"/>
  <c r="R116" i="1" s="1"/>
  <c r="Q7" i="13"/>
  <c r="R7" i="13" s="1"/>
  <c r="Q8" i="13"/>
  <c r="R8" i="13" s="1"/>
  <c r="Q9" i="13"/>
  <c r="R9" i="13" s="1"/>
  <c r="Q10" i="13"/>
  <c r="R10" i="13" s="1"/>
  <c r="N13" i="13"/>
  <c r="Q5" i="13"/>
  <c r="R5" i="13" s="1"/>
  <c r="Q11" i="13"/>
  <c r="R11" i="13" s="1"/>
  <c r="Q12" i="13"/>
  <c r="R12" i="13" s="1"/>
  <c r="Q6" i="13"/>
  <c r="R6" i="13" s="1"/>
  <c r="M15" i="6"/>
  <c r="M7" i="6"/>
  <c r="M12" i="6"/>
  <c r="M13" i="6"/>
  <c r="M14" i="6"/>
  <c r="M8" i="6"/>
  <c r="M6" i="6"/>
  <c r="M9" i="6"/>
  <c r="M10" i="6"/>
  <c r="M11" i="6"/>
  <c r="M5" i="6"/>
  <c r="Q41" i="1"/>
  <c r="R41" i="1" s="1"/>
  <c r="Q136" i="1"/>
  <c r="R136" i="1" s="1"/>
  <c r="Q81" i="1"/>
  <c r="R81" i="1" s="1"/>
  <c r="Q19" i="1"/>
  <c r="R19" i="1" s="1"/>
  <c r="Q75" i="1"/>
  <c r="R75" i="1" s="1"/>
  <c r="Q42" i="1"/>
  <c r="R42" i="1" s="1"/>
  <c r="Q68" i="1"/>
  <c r="R68" i="1" s="1"/>
  <c r="Q97" i="1"/>
  <c r="R97" i="1" s="1"/>
  <c r="Q14" i="1"/>
  <c r="R14" i="1" s="1"/>
  <c r="Q61" i="1"/>
  <c r="R61" i="1" s="1"/>
  <c r="Q76" i="1"/>
  <c r="R76" i="1" s="1"/>
  <c r="Q83" i="1"/>
  <c r="R83" i="1" s="1"/>
  <c r="Q143" i="1"/>
  <c r="R143" i="1" s="1"/>
  <c r="Q6" i="1"/>
  <c r="Q43" i="1"/>
  <c r="R43" i="1" s="1"/>
  <c r="Q49" i="1"/>
  <c r="R49" i="1" s="1"/>
  <c r="Q15" i="1"/>
  <c r="R15" i="1" s="1"/>
  <c r="Q62" i="1"/>
  <c r="R62" i="1" s="1"/>
  <c r="Q84" i="1"/>
  <c r="R84" i="1" s="1"/>
  <c r="Q74" i="1"/>
  <c r="R74" i="1" s="1"/>
  <c r="Q9" i="1"/>
  <c r="R9" i="1" s="1"/>
  <c r="Q50" i="1"/>
  <c r="R50" i="1" s="1"/>
  <c r="Q47" i="1"/>
  <c r="R47" i="1" s="1"/>
  <c r="Q96" i="1"/>
  <c r="R96" i="1" s="1"/>
  <c r="Q22" i="1"/>
  <c r="R22" i="1" s="1"/>
  <c r="Q63" i="1"/>
  <c r="R63" i="1" s="1"/>
  <c r="Q70" i="1"/>
  <c r="R70" i="1" s="1"/>
  <c r="Q133" i="1"/>
  <c r="R133" i="1" s="1"/>
  <c r="Q10" i="1"/>
  <c r="R10" i="1" s="1"/>
  <c r="Q78" i="1"/>
  <c r="R78" i="1" s="1"/>
  <c r="Q7" i="1"/>
  <c r="R7" i="1" s="1"/>
  <c r="Q23" i="1"/>
  <c r="R23" i="1" s="1"/>
  <c r="Q71" i="1"/>
  <c r="R71" i="1" s="1"/>
  <c r="Q134" i="1"/>
  <c r="R134" i="1" s="1"/>
  <c r="Q67" i="1"/>
  <c r="R67" i="1" s="1"/>
  <c r="Q11" i="1"/>
  <c r="R11" i="1" s="1"/>
  <c r="Q17" i="1"/>
  <c r="R17" i="1" s="1"/>
  <c r="Q79" i="1"/>
  <c r="R79" i="1" s="1"/>
  <c r="Q72" i="1"/>
  <c r="R72" i="1" s="1"/>
  <c r="Q58" i="1"/>
  <c r="R58" i="1" s="1"/>
  <c r="Q18" i="1"/>
  <c r="R18" i="1" s="1"/>
  <c r="Q82" i="1"/>
  <c r="R82" i="1" s="1"/>
  <c r="Q46" i="1"/>
  <c r="R46" i="1" s="1"/>
  <c r="Q73" i="1"/>
  <c r="R73" i="1" s="1"/>
  <c r="Q48" i="1"/>
  <c r="R48" i="1" s="1"/>
  <c r="Q127" i="1"/>
  <c r="R127" i="1" s="1"/>
  <c r="Q80" i="1"/>
  <c r="R80" i="1" s="1"/>
  <c r="Q92" i="1"/>
  <c r="R92" i="1" s="1"/>
  <c r="R95" i="1"/>
  <c r="Q108" i="1"/>
  <c r="R108" i="1" s="1"/>
  <c r="Q111" i="1"/>
  <c r="R111" i="1" s="1"/>
  <c r="Q124" i="1"/>
  <c r="R124" i="1" s="1"/>
  <c r="Q142" i="1"/>
  <c r="R142" i="1" s="1"/>
  <c r="Q164" i="1"/>
  <c r="R164" i="1" s="1"/>
  <c r="Q180" i="1"/>
  <c r="R180" i="1" s="1"/>
  <c r="Q206" i="1"/>
  <c r="R206" i="1" s="1"/>
  <c r="Q16" i="1"/>
  <c r="R16" i="1" s="1"/>
  <c r="Q130" i="1"/>
  <c r="R130" i="1" s="1"/>
  <c r="Q89" i="1"/>
  <c r="R89" i="1" s="1"/>
  <c r="Q105" i="1"/>
  <c r="R105" i="1" s="1"/>
  <c r="Q121" i="1"/>
  <c r="R121" i="1" s="1"/>
  <c r="Q139" i="1"/>
  <c r="R139" i="1" s="1"/>
  <c r="Q161" i="1"/>
  <c r="R161" i="1" s="1"/>
  <c r="Q177" i="1"/>
  <c r="R177" i="1" s="1"/>
  <c r="Q193" i="1"/>
  <c r="R193" i="1" s="1"/>
  <c r="Q69" i="1"/>
  <c r="R69" i="1" s="1"/>
  <c r="R40" i="1"/>
  <c r="Q86" i="1"/>
  <c r="R86" i="1" s="1"/>
  <c r="Q102" i="1"/>
  <c r="R102" i="1" s="1"/>
  <c r="Q118" i="1"/>
  <c r="R118" i="1" s="1"/>
  <c r="Q174" i="1"/>
  <c r="R174" i="1" s="1"/>
  <c r="Q190" i="1"/>
  <c r="R190" i="1" s="1"/>
  <c r="Q203" i="1"/>
  <c r="R203" i="1" s="1"/>
  <c r="Q99" i="1"/>
  <c r="R99" i="1" s="1"/>
  <c r="Q115" i="1"/>
  <c r="R115" i="1" s="1"/>
  <c r="Q131" i="1"/>
  <c r="R131" i="1" s="1"/>
  <c r="Q171" i="1"/>
  <c r="R171" i="1" s="1"/>
  <c r="Q187" i="1"/>
  <c r="R187" i="1" s="1"/>
  <c r="Q200" i="1"/>
  <c r="R200" i="1" s="1"/>
  <c r="Q8" i="1"/>
  <c r="R8" i="1" s="1"/>
  <c r="Q168" i="1"/>
  <c r="R168" i="1" s="1"/>
  <c r="Q184" i="1"/>
  <c r="R184" i="1" s="1"/>
  <c r="Q197" i="1"/>
  <c r="R197" i="1" s="1"/>
  <c r="Q165" i="1"/>
  <c r="R165" i="1" s="1"/>
  <c r="Q181" i="1"/>
  <c r="R181" i="1" s="1"/>
  <c r="Q207" i="1"/>
  <c r="R207" i="1" s="1"/>
  <c r="Q12" i="1"/>
  <c r="R12" i="1" s="1"/>
  <c r="Q20" i="1"/>
  <c r="R20" i="1" s="1"/>
  <c r="Q44" i="1"/>
  <c r="R44" i="1" s="1"/>
  <c r="Q162" i="1"/>
  <c r="R162" i="1" s="1"/>
  <c r="Q178" i="1"/>
  <c r="R178" i="1" s="1"/>
  <c r="Q194" i="1"/>
  <c r="R194" i="1" s="1"/>
  <c r="Q204" i="1"/>
  <c r="R204" i="1" s="1"/>
  <c r="Q77" i="1"/>
  <c r="R77" i="1" s="1"/>
  <c r="Q65" i="1"/>
  <c r="R65" i="1" s="1"/>
  <c r="Q87" i="1"/>
  <c r="R87" i="1" s="1"/>
  <c r="Q103" i="1"/>
  <c r="R103" i="1" s="1"/>
  <c r="Q119" i="1"/>
  <c r="R119" i="1" s="1"/>
  <c r="Q175" i="1"/>
  <c r="R175" i="1" s="1"/>
  <c r="Q191" i="1"/>
  <c r="R191" i="1" s="1"/>
  <c r="Q188" i="1"/>
  <c r="R188" i="1" s="1"/>
  <c r="Q201" i="1"/>
  <c r="R201" i="1" s="1"/>
  <c r="Q185" i="1"/>
  <c r="R185" i="1" s="1"/>
  <c r="Q198" i="1"/>
  <c r="R198" i="1" s="1"/>
  <c r="M36" i="6"/>
  <c r="M38" i="6"/>
  <c r="M29" i="6"/>
  <c r="M43" i="6"/>
  <c r="M44" i="6"/>
  <c r="M32" i="6"/>
  <c r="M47" i="6"/>
  <c r="M37" i="6"/>
  <c r="N34" i="6"/>
  <c r="M45" i="6"/>
  <c r="M48" i="6"/>
  <c r="M46" i="6"/>
  <c r="M42" i="6"/>
  <c r="M41" i="6"/>
  <c r="M39" i="6"/>
  <c r="M40" i="6"/>
  <c r="M33" i="6"/>
  <c r="M31" i="6"/>
  <c r="N31" i="6" s="1"/>
  <c r="M26" i="6"/>
  <c r="M27" i="6"/>
  <c r="M28" i="6"/>
  <c r="M24" i="6"/>
  <c r="M30" i="6"/>
  <c r="K49" i="6"/>
  <c r="M25" i="6"/>
  <c r="N15" i="6" l="1"/>
  <c r="N46" i="6"/>
  <c r="N27" i="6"/>
  <c r="N45" i="6"/>
  <c r="N37" i="6"/>
  <c r="N24" i="6"/>
  <c r="N32" i="6"/>
  <c r="N26" i="6"/>
  <c r="N38" i="6"/>
  <c r="N6" i="6"/>
  <c r="N12" i="6"/>
  <c r="N48" i="6"/>
  <c r="N30" i="6"/>
  <c r="N47" i="6"/>
  <c r="N28" i="6"/>
  <c r="N5" i="6"/>
  <c r="N44" i="6"/>
  <c r="N11" i="6"/>
  <c r="N43" i="6"/>
  <c r="N10" i="6"/>
  <c r="N29" i="6"/>
  <c r="N9" i="6"/>
  <c r="N33" i="6"/>
  <c r="N36" i="6"/>
  <c r="N8" i="6"/>
  <c r="N40" i="6"/>
  <c r="N14" i="6"/>
  <c r="N39" i="6"/>
  <c r="N13" i="6"/>
  <c r="N41" i="6"/>
  <c r="N42" i="6"/>
  <c r="N7" i="6"/>
  <c r="N144" i="1"/>
  <c r="Q144" i="1" s="1"/>
  <c r="R144" i="1" s="1"/>
  <c r="N145" i="1"/>
  <c r="Q145" i="1" s="1"/>
  <c r="R145" i="1" s="1"/>
  <c r="N52" i="1"/>
  <c r="Q52" i="1" s="1"/>
  <c r="R52" i="1" s="1"/>
  <c r="N24" i="1"/>
  <c r="N51" i="1"/>
  <c r="Q51" i="1" s="1"/>
  <c r="R51" i="1" s="1"/>
  <c r="Q13" i="13"/>
  <c r="R13" i="13"/>
  <c r="C6" i="10" s="1"/>
  <c r="R6" i="1"/>
  <c r="M49" i="6"/>
  <c r="N25" i="6"/>
  <c r="N147" i="1" l="1"/>
  <c r="Q147" i="1" s="1"/>
  <c r="R147" i="1" s="1"/>
  <c r="N146" i="1"/>
  <c r="Q146" i="1" s="1"/>
  <c r="R146" i="1" s="1"/>
  <c r="Q24" i="1"/>
  <c r="R24" i="1" s="1"/>
  <c r="N25" i="1"/>
  <c r="Q25" i="1" s="1"/>
  <c r="R25" i="1" s="1"/>
  <c r="N148" i="1"/>
  <c r="N49" i="6"/>
  <c r="C5" i="10" s="1"/>
  <c r="N53" i="1" l="1"/>
  <c r="Q53" i="1" s="1"/>
  <c r="R53" i="1" s="1"/>
  <c r="N26" i="1"/>
  <c r="Q26" i="1" s="1"/>
  <c r="R26" i="1" s="1"/>
  <c r="Q148" i="1"/>
  <c r="R148" i="1" s="1"/>
  <c r="N149" i="1"/>
  <c r="N54" i="1" l="1"/>
  <c r="Q54" i="1" s="1"/>
  <c r="R54" i="1" s="1"/>
  <c r="N27" i="1"/>
  <c r="Q149" i="1"/>
  <c r="R149" i="1" s="1"/>
  <c r="N150" i="1"/>
  <c r="Q27" i="1" l="1"/>
  <c r="R27" i="1" s="1"/>
  <c r="N55" i="1"/>
  <c r="Q55" i="1" s="1"/>
  <c r="R55" i="1" s="1"/>
  <c r="N28" i="1"/>
  <c r="Q28" i="1" s="1"/>
  <c r="R28" i="1" s="1"/>
  <c r="N151" i="1"/>
  <c r="Q150" i="1"/>
  <c r="R150" i="1" s="1"/>
  <c r="N29" i="1" l="1"/>
  <c r="Q29" i="1" s="1"/>
  <c r="R29" i="1" s="1"/>
  <c r="N152" i="1"/>
  <c r="Q151" i="1"/>
  <c r="R151" i="1" s="1"/>
  <c r="N30" i="1" l="1"/>
  <c r="Q30" i="1" s="1"/>
  <c r="R30" i="1" s="1"/>
  <c r="N153" i="1"/>
  <c r="Q152" i="1"/>
  <c r="R152" i="1" s="1"/>
  <c r="N31" i="1" l="1"/>
  <c r="Q31" i="1" s="1"/>
  <c r="R31" i="1" s="1"/>
  <c r="N154" i="1"/>
  <c r="Q153" i="1"/>
  <c r="R153" i="1" s="1"/>
  <c r="N32" i="1" l="1"/>
  <c r="Q32" i="1" s="1"/>
  <c r="R32" i="1" s="1"/>
  <c r="Q154" i="1"/>
  <c r="R154" i="1" s="1"/>
  <c r="N155" i="1"/>
  <c r="N33" i="1" l="1"/>
  <c r="Q33" i="1" s="1"/>
  <c r="R33" i="1" s="1"/>
  <c r="Q155" i="1"/>
  <c r="R155" i="1" s="1"/>
  <c r="N156" i="1"/>
  <c r="N34" i="1" l="1"/>
  <c r="Q34" i="1" s="1"/>
  <c r="R34" i="1" s="1"/>
  <c r="Q156" i="1"/>
  <c r="R156" i="1" s="1"/>
  <c r="N157" i="1"/>
  <c r="N35" i="1" l="1"/>
  <c r="Q35" i="1" s="1"/>
  <c r="R35" i="1" s="1"/>
  <c r="Q157" i="1"/>
  <c r="R157" i="1" s="1"/>
  <c r="N158" i="1"/>
  <c r="N36" i="1" l="1"/>
  <c r="Q36" i="1" s="1"/>
  <c r="R36" i="1" s="1"/>
  <c r="N159" i="1"/>
  <c r="Q158" i="1"/>
  <c r="R158" i="1" s="1"/>
  <c r="N160" i="1" l="1"/>
  <c r="N37" i="1"/>
  <c r="Q37" i="1" s="1"/>
  <c r="R37" i="1" s="1"/>
  <c r="Q159" i="1"/>
  <c r="R159" i="1" s="1"/>
  <c r="Q160" i="1" l="1"/>
  <c r="R160" i="1" s="1"/>
  <c r="N38" i="1"/>
  <c r="N39" i="1" l="1"/>
  <c r="Q39" i="1" s="1"/>
  <c r="R39" i="1" s="1"/>
  <c r="Q38" i="1"/>
  <c r="N209" i="1" l="1"/>
  <c r="R38" i="1"/>
  <c r="Q209" i="1"/>
  <c r="R209" i="1" l="1"/>
  <c r="C7" i="10" s="1"/>
  <c r="C8" i="10" s="1"/>
  <c r="C10" i="10" s="1"/>
  <c r="C12" i="10" s="1"/>
  <c r="C13" i="10" s="1"/>
  <c r="C14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tc={CE01A1B9-1B20-4AAD-8085-9602F73D1194}</author>
    <author>石萌</author>
  </authors>
  <commentList>
    <comment ref="H2" authorId="0" shapeId="0" xr:uid="{CE01A1B9-1B20-4AAD-8085-9602F73D1194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“动手干活”的钱 </t>
      </text>
    </comment>
    <comment ref="L2" authorId="1" shapeId="0" xr:uid="{794F492C-A812-4E50-A0CF-CB280B079782}">
      <text>
        <r>
          <rPr>
            <b/>
            <sz val="9"/>
            <color indexed="81"/>
            <rFont val="宋体"/>
            <family val="3"/>
            <charset val="134"/>
          </rPr>
          <t>石萌:</t>
        </r>
        <r>
          <rPr>
            <sz val="9"/>
            <color indexed="81"/>
            <rFont val="宋体"/>
            <family val="3"/>
            <charset val="134"/>
          </rPr>
          <t xml:space="preserve">
 “动脑设计、管理”的钱</t>
        </r>
      </text>
    </comment>
  </commentList>
</comments>
</file>

<file path=xl/sharedStrings.xml><?xml version="1.0" encoding="utf-8"?>
<sst xmlns="http://schemas.openxmlformats.org/spreadsheetml/2006/main" count="1629" uniqueCount="541">
  <si>
    <t>项目名称：铜梁/江津-遵义-贵阳天然气管道勘察测量（标段一）</t>
  </si>
  <si>
    <t>序号</t>
  </si>
  <si>
    <t>项目</t>
  </si>
  <si>
    <t>费用（万元）</t>
  </si>
  <si>
    <t>备注</t>
  </si>
  <si>
    <t>长输管道线路工程勘察测量费用</t>
  </si>
  <si>
    <t>测算明细见附表1</t>
  </si>
  <si>
    <t>通用工程测量费用</t>
  </si>
  <si>
    <t>测算明细见附表2</t>
  </si>
  <si>
    <t>地质测绘费用</t>
  </si>
  <si>
    <t>测算明细见附表3</t>
  </si>
  <si>
    <t>通用工程勘察费用</t>
  </si>
  <si>
    <t>测算明细见附表4</t>
  </si>
  <si>
    <t>小计</t>
  </si>
  <si>
    <t>管网其他费用和相关费用计价依据</t>
  </si>
  <si>
    <t>浮动后勘察费</t>
  </si>
  <si>
    <t>其他相关费用</t>
  </si>
  <si>
    <t>测算明细见附表5</t>
  </si>
  <si>
    <t>合计（含税）</t>
  </si>
  <si>
    <t>合计（不含税）</t>
  </si>
  <si>
    <t>增值税</t>
  </si>
  <si>
    <t>工作任务</t>
  </si>
  <si>
    <t>类别或级别</t>
  </si>
  <si>
    <t>费用（元）</t>
  </si>
  <si>
    <t>收费标准里对应条款</t>
  </si>
  <si>
    <t>名称</t>
  </si>
  <si>
    <t>划分</t>
  </si>
  <si>
    <t>单位</t>
  </si>
  <si>
    <t>基价（元）</t>
  </si>
  <si>
    <t>数量</t>
  </si>
  <si>
    <t>附加调整系数</t>
  </si>
  <si>
    <t>初步勘察</t>
  </si>
  <si>
    <t>Ⅱ</t>
  </si>
  <si>
    <t>km</t>
  </si>
  <si>
    <t>表12.3-1</t>
  </si>
  <si>
    <t>详细勘察</t>
  </si>
  <si>
    <t>Ⅲ</t>
  </si>
  <si>
    <t>合计</t>
  </si>
  <si>
    <t>实物工作费（元）</t>
  </si>
  <si>
    <t>技术工作费（元）</t>
  </si>
  <si>
    <t>金额合计（元）</t>
  </si>
  <si>
    <t>标段一</t>
  </si>
  <si>
    <t>标段二</t>
  </si>
  <si>
    <t>内容</t>
  </si>
  <si>
    <t>类别</t>
  </si>
  <si>
    <t>调整系数</t>
  </si>
  <si>
    <t>中等</t>
  </si>
  <si>
    <t>个</t>
  </si>
  <si>
    <t>GPS测量E级</t>
  </si>
  <si>
    <t>河流静态</t>
  </si>
  <si>
    <t>复杂</t>
  </si>
  <si>
    <t>点</t>
  </si>
  <si>
    <t>连片鱼塘静态</t>
  </si>
  <si>
    <t>山岭隧道静态</t>
  </si>
  <si>
    <t>山体定向钻静态</t>
  </si>
  <si>
    <t>站场静态</t>
  </si>
  <si>
    <t>阀室RTK</t>
  </si>
  <si>
    <t>三角（边）一级</t>
  </si>
  <si>
    <t>渣场RTK</t>
  </si>
  <si>
    <t>公路、铁路RTK</t>
  </si>
  <si>
    <t>小型穿越RTK</t>
  </si>
  <si>
    <t>数据采集</t>
  </si>
  <si>
    <t>1:2000</t>
  </si>
  <si>
    <t>/</t>
  </si>
  <si>
    <t>行业市场价3500-5500</t>
  </si>
  <si>
    <t>Ⅲ类</t>
  </si>
  <si>
    <t>幅</t>
  </si>
  <si>
    <t>航线网布点核减15%</t>
  </si>
  <si>
    <t>Ⅱ类</t>
  </si>
  <si>
    <t>DLG</t>
  </si>
  <si>
    <t>室内外综合判调，定额增加20%，带宽系数15%</t>
  </si>
  <si>
    <t>DEM</t>
  </si>
  <si>
    <t>DOM</t>
  </si>
  <si>
    <t>1:50000</t>
  </si>
  <si>
    <t>山岭隧道（洞身）</t>
  </si>
  <si>
    <r>
      <rPr>
        <sz val="10"/>
        <rFont val="宋体"/>
        <family val="3"/>
        <charset val="134"/>
        <scheme val="minor"/>
      </rPr>
      <t>km</t>
    </r>
    <r>
      <rPr>
        <vertAlign val="superscript"/>
        <sz val="10"/>
        <rFont val="宋体"/>
        <family val="3"/>
        <charset val="134"/>
        <scheme val="minor"/>
      </rPr>
      <t>2</t>
    </r>
  </si>
  <si>
    <t>山岭隧道（洞口、渣场）</t>
  </si>
  <si>
    <t>1:500</t>
  </si>
  <si>
    <t>河流大中型穿越（陆地）</t>
  </si>
  <si>
    <t>1:1000</t>
  </si>
  <si>
    <t>数字化测绘系数1.5</t>
  </si>
  <si>
    <t>河流大中型穿越（水域）</t>
  </si>
  <si>
    <t>表2.3-1</t>
  </si>
  <si>
    <t>连片鱼塘穿越</t>
  </si>
  <si>
    <t>表2.2-2</t>
  </si>
  <si>
    <t>山体定向钻</t>
  </si>
  <si>
    <t>站场（地形图）</t>
  </si>
  <si>
    <t>站场（区位图）</t>
  </si>
  <si>
    <t>阀室</t>
  </si>
  <si>
    <t>公路、铁路、小型穿越</t>
  </si>
  <si>
    <t>线路纵断面</t>
  </si>
  <si>
    <t>植被覆盖系数1.3</t>
  </si>
  <si>
    <t>表2.4-1</t>
  </si>
  <si>
    <t>盲探管线</t>
  </si>
  <si>
    <t>表7.2-1</t>
  </si>
  <si>
    <t>地下管线探测部分，（预估工作量）</t>
  </si>
  <si>
    <t>ID</t>
  </si>
  <si>
    <t>金额合计</t>
  </si>
  <si>
    <t>级别</t>
  </si>
  <si>
    <t>取费系数说明</t>
  </si>
  <si>
    <t>（元）</t>
  </si>
  <si>
    <t>地质测绘</t>
  </si>
  <si>
    <t>成图比例</t>
  </si>
  <si>
    <t>甲级</t>
  </si>
  <si>
    <t>表3.2-1、表3.2-2</t>
  </si>
  <si>
    <t>1:10000</t>
  </si>
  <si>
    <t>带状工程地质测绘系数1.3</t>
  </si>
  <si>
    <t>工程量合计</t>
  </si>
  <si>
    <t>组日</t>
  </si>
  <si>
    <t>D≤10</t>
  </si>
  <si>
    <t>m</t>
  </si>
  <si>
    <t>表3.3-2、表3.3-5</t>
  </si>
  <si>
    <t>泥浆护壁系数1.5</t>
  </si>
  <si>
    <t>Ⅳ</t>
  </si>
  <si>
    <t>Ⅵ</t>
  </si>
  <si>
    <t>10＜D≤20</t>
  </si>
  <si>
    <t>Ⅴ</t>
  </si>
  <si>
    <t>20＜D≤30</t>
  </si>
  <si>
    <t>30＜D≤40</t>
  </si>
  <si>
    <t>40＜D≤50</t>
  </si>
  <si>
    <t>50＜D≤60</t>
  </si>
  <si>
    <t>60＜D≤80</t>
  </si>
  <si>
    <t>80＜D≤100</t>
  </si>
  <si>
    <t>100＜D≤120</t>
  </si>
  <si>
    <t>120＜D≤140</t>
  </si>
  <si>
    <t>140＜D≤160</t>
  </si>
  <si>
    <t>160＜D≤180</t>
  </si>
  <si>
    <t>180＜D≤200</t>
  </si>
  <si>
    <t>200＜D≤220</t>
  </si>
  <si>
    <t>220＜D≤240</t>
  </si>
  <si>
    <t>240＜D≤260</t>
  </si>
  <si>
    <t>260＜D≤280</t>
  </si>
  <si>
    <t>280＜D≤300</t>
  </si>
  <si>
    <t>300＜D≤320</t>
  </si>
  <si>
    <t>320＜D≤340</t>
  </si>
  <si>
    <t>340＜D≤360</t>
  </si>
  <si>
    <t>360＜D≤380</t>
  </si>
  <si>
    <t>380＜D≤400</t>
  </si>
  <si>
    <t>400＜D≤420</t>
  </si>
  <si>
    <t>钻探</t>
  </si>
  <si>
    <t>水域</t>
  </si>
  <si>
    <t>水深&lt;10m系数2.0，泥浆护壁系数1.5</t>
  </si>
  <si>
    <t>水上作业系数2.5</t>
  </si>
  <si>
    <t>探井</t>
  </si>
  <si>
    <t>D≤2</t>
  </si>
  <si>
    <t>2＜D≤5</t>
  </si>
  <si>
    <t>5＜D≤10</t>
  </si>
  <si>
    <t>Ⅰ</t>
  </si>
  <si>
    <t>探槽</t>
  </si>
  <si>
    <t>取样</t>
  </si>
  <si>
    <t>钻孔取土样</t>
  </si>
  <si>
    <t>≤30m</t>
  </si>
  <si>
    <t>件</t>
  </si>
  <si>
    <t>表3.3-3、表3.3-5</t>
  </si>
  <si>
    <t>探井取土样</t>
  </si>
  <si>
    <t>取扰动样</t>
  </si>
  <si>
    <t>岩芯取石样</t>
  </si>
  <si>
    <t>水样</t>
  </si>
  <si>
    <t>D≤20</t>
  </si>
  <si>
    <t>次</t>
  </si>
  <si>
    <t>表3.3-4、表3.3-5</t>
  </si>
  <si>
    <t>20＜D≤50</t>
  </si>
  <si>
    <t>D＞50</t>
  </si>
  <si>
    <t>重型</t>
  </si>
  <si>
    <t>静力触探</t>
  </si>
  <si>
    <t>双桥</t>
  </si>
  <si>
    <t>压水致裂</t>
  </si>
  <si>
    <t>孔壁应变法</t>
  </si>
  <si>
    <t>孔</t>
  </si>
  <si>
    <t>压水</t>
  </si>
  <si>
    <t>段次</t>
  </si>
  <si>
    <t>D＞20</t>
  </si>
  <si>
    <t>注水</t>
  </si>
  <si>
    <t>钻孔注水</t>
  </si>
  <si>
    <t>探井注水</t>
  </si>
  <si>
    <t>抽水试验</t>
  </si>
  <si>
    <t>利用钻孔抽水</t>
  </si>
  <si>
    <t>台班</t>
  </si>
  <si>
    <t>表5.5-1</t>
  </si>
  <si>
    <t>地下水位（温）观测</t>
  </si>
  <si>
    <t>试验观测孔</t>
  </si>
  <si>
    <t>L≤5</t>
  </si>
  <si>
    <t>5＜L≤10</t>
  </si>
  <si>
    <t>L＞10</t>
  </si>
  <si>
    <t>设计洪水</t>
  </si>
  <si>
    <t>设计洪水位</t>
  </si>
  <si>
    <t>河流设计洪水</t>
  </si>
  <si>
    <t>水文气象</t>
  </si>
  <si>
    <t>表6.2-2</t>
  </si>
  <si>
    <t>小流域暴雨洪水</t>
  </si>
  <si>
    <t>河流冲刷</t>
  </si>
  <si>
    <t>工程泥沙</t>
  </si>
  <si>
    <t>河床冲刷</t>
  </si>
  <si>
    <t>工程点</t>
  </si>
  <si>
    <t>敲击</t>
  </si>
  <si>
    <t>检波点·炮</t>
  </si>
  <si>
    <t>物探</t>
  </si>
  <si>
    <t> 表7.2-1</t>
  </si>
  <si>
    <t>山岭隧道地形系数1.7</t>
  </si>
  <si>
    <t>爆炸</t>
  </si>
  <si>
    <t>陆地</t>
  </si>
  <si>
    <t>顺流</t>
  </si>
  <si>
    <t>横穿</t>
  </si>
  <si>
    <t>面波勘探</t>
  </si>
  <si>
    <t>30＜D≤50</t>
  </si>
  <si>
    <t>电极距L（m）</t>
  </si>
  <si>
    <t>L≤100</t>
  </si>
  <si>
    <t>四级法</t>
  </si>
  <si>
    <t>100＜L≤200</t>
  </si>
  <si>
    <t>200＜L≤400</t>
  </si>
  <si>
    <t>400＜L≤600</t>
  </si>
  <si>
    <t>工程勘察服务成本要素信息（2022版）</t>
  </si>
  <si>
    <t>L＜10</t>
  </si>
  <si>
    <t>10＜L≤20</t>
  </si>
  <si>
    <t>20＜L≤50</t>
  </si>
  <si>
    <t>L＞50</t>
  </si>
  <si>
    <t>D≤3000</t>
  </si>
  <si>
    <t>除管线探测外，其他物探方法在地质、障碍、干扰其它条件复杂的1.2-3.0系数，线路上作业1.3系数</t>
  </si>
  <si>
    <t>D＞3000</t>
  </si>
  <si>
    <t>层析成像（CT）</t>
  </si>
  <si>
    <t>弹性波</t>
  </si>
  <si>
    <t>电磁波</t>
  </si>
  <si>
    <t>射线对</t>
  </si>
  <si>
    <t>工作方式</t>
  </si>
  <si>
    <t>点测</t>
  </si>
  <si>
    <t>连续</t>
  </si>
  <si>
    <t>Km</t>
  </si>
  <si>
    <t>瞬变电磁</t>
  </si>
  <si>
    <t>外框边长（m）</t>
  </si>
  <si>
    <t>测点</t>
  </si>
  <si>
    <t>水陆连续地形系数1.5</t>
  </si>
  <si>
    <t>点距L(m)</t>
  </si>
  <si>
    <t>5＜L≤20</t>
  </si>
  <si>
    <t>地下管线探测</t>
  </si>
  <si>
    <t>电缆（电力、通讯等）</t>
  </si>
  <si>
    <t>简单</t>
  </si>
  <si>
    <t>金属管道</t>
  </si>
  <si>
    <t>非金属管道</t>
  </si>
  <si>
    <t>下水道（有窨井）</t>
  </si>
  <si>
    <t>测井</t>
  </si>
  <si>
    <t>钻孔电视</t>
  </si>
  <si>
    <t>电阻率测试</t>
  </si>
  <si>
    <t>钻孔波速测试</t>
  </si>
  <si>
    <t>深度D(m)</t>
  </si>
  <si>
    <t>D≤15</t>
  </si>
  <si>
    <t>单孔</t>
  </si>
  <si>
    <t>15＜D≤30</t>
  </si>
  <si>
    <t>50＜D≤70</t>
  </si>
  <si>
    <t>超过50m每20m乘以1.3系数</t>
  </si>
  <si>
    <t>70＜D≤90</t>
  </si>
  <si>
    <t>90＜D≤110</t>
  </si>
  <si>
    <t>110＜D≤130</t>
  </si>
  <si>
    <t>130＜D≤150</t>
  </si>
  <si>
    <t>150＜D≤170</t>
  </si>
  <si>
    <t>170＜D≤190</t>
  </si>
  <si>
    <t>190＜D≤210</t>
  </si>
  <si>
    <t>210＜D≤230</t>
  </si>
  <si>
    <t>230＜D≤250</t>
  </si>
  <si>
    <t>场地微振动</t>
  </si>
  <si>
    <t>地面</t>
  </si>
  <si>
    <t>含水率</t>
  </si>
  <si>
    <t>试验</t>
  </si>
  <si>
    <t> 表8.2-1</t>
  </si>
  <si>
    <t>密度</t>
  </si>
  <si>
    <t>环刀法</t>
  </si>
  <si>
    <t>比重</t>
  </si>
  <si>
    <t>颗粒分析</t>
  </si>
  <si>
    <t>液限</t>
  </si>
  <si>
    <t>碟式仪法</t>
  </si>
  <si>
    <t>圆锥仪法</t>
  </si>
  <si>
    <t>塑限</t>
  </si>
  <si>
    <t>击实</t>
  </si>
  <si>
    <t>轻型击实法</t>
  </si>
  <si>
    <t>重型击实法</t>
  </si>
  <si>
    <t>渗透</t>
  </si>
  <si>
    <t>粘土、粉土类</t>
  </si>
  <si>
    <t>砂土类</t>
  </si>
  <si>
    <t>标准固结</t>
  </si>
  <si>
    <t>快速法</t>
  </si>
  <si>
    <t>慢速法</t>
  </si>
  <si>
    <t>压缩</t>
  </si>
  <si>
    <t>四级</t>
  </si>
  <si>
    <t>三轴压缩</t>
  </si>
  <si>
    <t>不固结不排水</t>
  </si>
  <si>
    <t>组</t>
  </si>
  <si>
    <t>固结不排水</t>
  </si>
  <si>
    <t>固结不排水测孔压</t>
  </si>
  <si>
    <t>固结排水</t>
  </si>
  <si>
    <t>直接剪切</t>
  </si>
  <si>
    <t>快剪</t>
  </si>
  <si>
    <t>固结快剪</t>
  </si>
  <si>
    <t>固结慢剪</t>
  </si>
  <si>
    <t>湿陷系数</t>
  </si>
  <si>
    <t>自重</t>
  </si>
  <si>
    <t>自重起始压力</t>
  </si>
  <si>
    <t>单线法</t>
  </si>
  <si>
    <t>5环刀</t>
  </si>
  <si>
    <t>双线法</t>
  </si>
  <si>
    <t>2环刀</t>
  </si>
  <si>
    <t>膨胀试验</t>
  </si>
  <si>
    <t>自由膨胀率</t>
  </si>
  <si>
    <t>膨胀率</t>
  </si>
  <si>
    <t>膨胀力</t>
  </si>
  <si>
    <t>收缩系数</t>
  </si>
  <si>
    <t> 表8.3-1</t>
  </si>
  <si>
    <t>水质简分析</t>
  </si>
  <si>
    <t>项</t>
  </si>
  <si>
    <t>岩石试验</t>
  </si>
  <si>
    <t>岩石加工</t>
  </si>
  <si>
    <t>Φ50～70岩芯</t>
  </si>
  <si>
    <t>块</t>
  </si>
  <si>
    <t> 表8.4-1</t>
  </si>
  <si>
    <t>块体密度</t>
  </si>
  <si>
    <t>蜡封法</t>
  </si>
  <si>
    <t>天然</t>
  </si>
  <si>
    <t>3块</t>
  </si>
  <si>
    <t>饱和</t>
  </si>
  <si>
    <t>单轴压缩变形</t>
  </si>
  <si>
    <t>干</t>
  </si>
  <si>
    <t>抗拉强度</t>
  </si>
  <si>
    <t>直剪</t>
  </si>
  <si>
    <t>岩块</t>
  </si>
  <si>
    <t>5块</t>
  </si>
  <si>
    <t>结构面</t>
  </si>
  <si>
    <t>点荷载强度</t>
  </si>
  <si>
    <t>办理工程勘察相关许可</t>
  </si>
  <si>
    <t>处</t>
  </si>
  <si>
    <t>通航巡护（长江）</t>
  </si>
  <si>
    <t>购买资料费</t>
  </si>
  <si>
    <t>水文资料搜集费</t>
  </si>
  <si>
    <t>拆除障碍物，开挖以及修复地下管线</t>
  </si>
  <si>
    <t>修通至作业现场道路，接通电源、水源以及平整场地</t>
  </si>
  <si>
    <t>勘察材料以及加工、封孔费</t>
  </si>
  <si>
    <t>水上作业用船、排、平台以及水监</t>
  </si>
  <si>
    <t>钻机搬运费</t>
  </si>
  <si>
    <t>勘察作业大型机具搬运（隧道）</t>
  </si>
  <si>
    <t>青苗、树木以及水域养殖物赔偿等</t>
  </si>
  <si>
    <t>样品包装及运输费</t>
  </si>
  <si>
    <t>一级林地报批报告</t>
  </si>
  <si>
    <t>工程勘察实物工作费（元）</t>
    <phoneticPr fontId="9" type="noConversion"/>
  </si>
  <si>
    <t>工程勘察技术工作费（元）</t>
    <phoneticPr fontId="9" type="noConversion"/>
  </si>
  <si>
    <t>内容</t>
    <phoneticPr fontId="9" type="noConversion"/>
  </si>
  <si>
    <t>类别</t>
    <phoneticPr fontId="9" type="noConversion"/>
  </si>
  <si>
    <t>比例尺</t>
    <phoneticPr fontId="9" type="noConversion"/>
  </si>
  <si>
    <t>首级控制测量</t>
    <phoneticPr fontId="9" type="noConversion"/>
  </si>
  <si>
    <t>GPS测量C级</t>
    <phoneticPr fontId="9" type="noConversion"/>
  </si>
  <si>
    <t>中等</t>
    <phoneticPr fontId="9" type="noConversion"/>
  </si>
  <si>
    <t>地图编制</t>
    <phoneticPr fontId="9" type="noConversion"/>
  </si>
  <si>
    <t>数字化测绘系数1.5、植被覆盖系数1.3</t>
    <phoneticPr fontId="9" type="noConversion"/>
  </si>
  <si>
    <t>钻探</t>
    <phoneticPr fontId="9" type="noConversion"/>
  </si>
  <si>
    <t>陆上</t>
    <phoneticPr fontId="9" type="noConversion"/>
  </si>
  <si>
    <t>岩土工程勘察</t>
    <phoneticPr fontId="9" type="noConversion"/>
  </si>
  <si>
    <t>工程水文</t>
    <phoneticPr fontId="9" type="noConversion"/>
  </si>
  <si>
    <t>工程物探</t>
    <phoneticPr fontId="9" type="noConversion"/>
  </si>
  <si>
    <t>室内试验</t>
    <phoneticPr fontId="9" type="noConversion"/>
  </si>
  <si>
    <t>表2.2-2</t>
    <phoneticPr fontId="9" type="noConversion"/>
  </si>
  <si>
    <t>地形图测绘（地形测量）</t>
    <phoneticPr fontId="9" type="noConversion"/>
  </si>
  <si>
    <t>地下管线测量</t>
    <phoneticPr fontId="9" type="noConversion"/>
  </si>
  <si>
    <t>工程量合计</t>
    <phoneticPr fontId="9" type="noConversion"/>
  </si>
  <si>
    <t>动态观测距离L（km）</t>
    <phoneticPr fontId="9" type="noConversion"/>
  </si>
  <si>
    <t>浅层地震反射或折射</t>
    <phoneticPr fontId="9" type="noConversion"/>
  </si>
  <si>
    <t>水面布点</t>
    <phoneticPr fontId="9" type="noConversion"/>
  </si>
  <si>
    <t>水底布点</t>
    <phoneticPr fontId="9" type="noConversion"/>
  </si>
  <si>
    <t>探测深度D(m)</t>
    <phoneticPr fontId="9" type="noConversion"/>
  </si>
  <si>
    <t>声频大地、甚低频电磁法</t>
    <phoneticPr fontId="9" type="noConversion"/>
  </si>
  <si>
    <t>深度D(m)</t>
    <phoneticPr fontId="9" type="noConversion"/>
  </si>
  <si>
    <t>地质雷达</t>
    <phoneticPr fontId="9" type="noConversion"/>
  </si>
  <si>
    <t>微重力勘探</t>
    <phoneticPr fontId="9" type="noConversion"/>
  </si>
  <si>
    <t>黄土湿陷性</t>
    <phoneticPr fontId="9" type="noConversion"/>
  </si>
  <si>
    <t>要素1</t>
    <phoneticPr fontId="9" type="noConversion"/>
  </si>
  <si>
    <t>单位</t>
    <phoneticPr fontId="9" type="noConversion"/>
  </si>
  <si>
    <t>要素2</t>
    <phoneticPr fontId="9" type="noConversion"/>
  </si>
  <si>
    <t>要素4</t>
    <phoneticPr fontId="9" type="noConversion"/>
  </si>
  <si>
    <t>要素5</t>
    <phoneticPr fontId="9" type="noConversion"/>
  </si>
  <si>
    <t>要素3</t>
    <phoneticPr fontId="9" type="noConversion"/>
  </si>
  <si>
    <t>实物工作费调整系数-测试</t>
    <phoneticPr fontId="9" type="noConversion"/>
  </si>
  <si>
    <t>技术工作费调整系数-测试</t>
    <phoneticPr fontId="9" type="noConversion"/>
  </si>
  <si>
    <t>单价匹配-测试</t>
    <phoneticPr fontId="9" type="noConversion"/>
  </si>
  <si>
    <t>映射行</t>
    <phoneticPr fontId="9" type="noConversion"/>
  </si>
  <si>
    <t>高密度电法</t>
    <phoneticPr fontId="9" type="noConversion"/>
  </si>
  <si>
    <t>附表4油气长输管道通用工程勘察费用测算表</t>
  </si>
  <si>
    <t>  D≤2</t>
  </si>
  <si>
    <t>  D＞2</t>
  </si>
  <si>
    <t>设计断面</t>
  </si>
  <si>
    <t>测点距L(m)</t>
  </si>
  <si>
    <t>附表2油气长输管道通用工程测量费用测算表</t>
  </si>
  <si>
    <t>附表3油气长输管道通用工程地质测绘费用测算表</t>
  </si>
  <si>
    <t>附表1油气长输管道线路工程勘察测量费用测算表</t>
  </si>
  <si>
    <t>油气长输管道工程勘察测量费用测算表</t>
  </si>
  <si>
    <t>附表5工程勘察其他费用测算表</t>
    <phoneticPr fontId="9" type="noConversion"/>
  </si>
  <si>
    <t>Ⅵ</t>
    <phoneticPr fontId="9" type="noConversion"/>
  </si>
  <si>
    <t>筛析法（含粘性土）</t>
    <phoneticPr fontId="9" type="noConversion"/>
  </si>
  <si>
    <t>薄片鉴定</t>
    <phoneticPr fontId="9" type="noConversion"/>
  </si>
  <si>
    <r>
      <t>km</t>
    </r>
    <r>
      <rPr>
        <vertAlign val="superscript"/>
        <sz val="10"/>
        <rFont val="宋体"/>
        <family val="3"/>
        <charset val="134"/>
        <scheme val="major"/>
      </rPr>
      <t>2</t>
    </r>
  </si>
  <si>
    <r>
      <t>m</t>
    </r>
    <r>
      <rPr>
        <vertAlign val="superscript"/>
        <sz val="10"/>
        <rFont val="宋体"/>
        <family val="3"/>
        <charset val="134"/>
        <scheme val="major"/>
      </rPr>
      <t>2</t>
    </r>
  </si>
  <si>
    <r>
      <t>m</t>
    </r>
    <r>
      <rPr>
        <vertAlign val="superscript"/>
        <sz val="10"/>
        <rFont val="宋体"/>
        <family val="3"/>
        <charset val="134"/>
        <scheme val="minor"/>
      </rPr>
      <t>3</t>
    </r>
  </si>
  <si>
    <r>
      <t>m</t>
    </r>
    <r>
      <rPr>
        <vertAlign val="superscript"/>
        <sz val="10"/>
        <rFont val="宋体"/>
        <family val="3"/>
        <charset val="134"/>
        <scheme val="minor"/>
      </rPr>
      <t>2</t>
    </r>
  </si>
  <si>
    <t>250＜D≤270</t>
  </si>
  <si>
    <t>270＜D≤290</t>
  </si>
  <si>
    <t>290＜D≤310</t>
  </si>
  <si>
    <t>310＜D≤330</t>
  </si>
  <si>
    <t>330＜D≤350</t>
  </si>
  <si>
    <t>350＜D≤370</t>
  </si>
  <si>
    <t>370＜D≤390</t>
  </si>
  <si>
    <t>390＜D≤410</t>
  </si>
  <si>
    <t>差值校验</t>
    <phoneticPr fontId="9" type="noConversion"/>
  </si>
  <si>
    <t>基价（元）</t>
    <phoneticPr fontId="9" type="noConversion"/>
  </si>
  <si>
    <t>匹配报告预留位置</t>
  </si>
  <si>
    <t>匹配状态</t>
  </si>
  <si>
    <t>候选数量</t>
  </si>
  <si>
    <t>匹配说明</t>
  </si>
  <si>
    <t>匹配说明-实物工作费调整系数</t>
    <phoneticPr fontId="9" type="noConversion"/>
  </si>
  <si>
    <t>匹配说明-技术工作费调整系数</t>
    <phoneticPr fontId="9" type="noConversion"/>
  </si>
  <si>
    <r>
      <t>（</t>
    </r>
    <r>
      <rPr>
        <b/>
        <sz val="10"/>
        <color rgb="FF00B050"/>
        <rFont val="宋体"/>
        <family val="3"/>
        <charset val="134"/>
        <scheme val="major"/>
      </rPr>
      <t>09标准</t>
    </r>
    <r>
      <rPr>
        <sz val="10"/>
        <color theme="1"/>
        <rFont val="宋体"/>
        <family val="3"/>
        <charset val="134"/>
        <scheme val="major"/>
      </rPr>
      <t>）地图编制</t>
    </r>
    <r>
      <rPr>
        <b/>
        <sz val="10"/>
        <color rgb="FF00B050"/>
        <rFont val="宋体"/>
        <family val="3"/>
        <charset val="134"/>
        <scheme val="major"/>
      </rPr>
      <t>-P19</t>
    </r>
    <phoneticPr fontId="9" type="noConversion"/>
  </si>
  <si>
    <r>
      <t>（</t>
    </r>
    <r>
      <rPr>
        <b/>
        <sz val="10"/>
        <color rgb="FF00B050"/>
        <rFont val="宋体"/>
        <family val="3"/>
        <charset val="134"/>
        <scheme val="major"/>
      </rPr>
      <t>09标准</t>
    </r>
    <r>
      <rPr>
        <sz val="10"/>
        <color theme="1"/>
        <rFont val="宋体"/>
        <family val="3"/>
        <charset val="134"/>
        <scheme val="major"/>
      </rPr>
      <t>）摄影测量与遥感</t>
    </r>
    <phoneticPr fontId="9" type="noConversion"/>
  </si>
  <si>
    <t>带状工程地质测绘系数1.3</t>
    <phoneticPr fontId="9" type="noConversion"/>
  </si>
  <si>
    <t>带状工程地质测绘系数:1.3</t>
    <phoneticPr fontId="9" type="noConversion"/>
  </si>
  <si>
    <t>实物工作费（元）</t>
    <phoneticPr fontId="9" type="noConversion"/>
  </si>
  <si>
    <t>《使用手册》第39—40页是地质测绘收费基价和附加调整规则。</t>
    <phoneticPr fontId="9" type="noConversion"/>
  </si>
  <si>
    <t>【实物工作费附加调整系数】</t>
    <phoneticPr fontId="9" type="noConversion"/>
  </si>
  <si>
    <t>与其他测绘工作同时进行:1.5</t>
    <phoneticPr fontId="9" type="noConversion"/>
  </si>
  <si>
    <t>技术工作费（元）</t>
    <phoneticPr fontId="9" type="noConversion"/>
  </si>
  <si>
    <t>【技术工作费附加调整系数】</t>
    <phoneticPr fontId="9" type="noConversion"/>
  </si>
  <si>
    <t>默认;1.2</t>
    <phoneticPr fontId="9" type="noConversion"/>
  </si>
  <si>
    <t>默认;1.0</t>
    <phoneticPr fontId="9" type="noConversion"/>
  </si>
  <si>
    <t>数字化测绘系数1.5、植被覆盖系数1.3</t>
    <phoneticPr fontId="9" type="noConversion"/>
  </si>
  <si>
    <t>数字化测绘系数1.5</t>
    <phoneticPr fontId="9" type="noConversion"/>
  </si>
  <si>
    <t>植被覆盖系数0.3</t>
    <phoneticPr fontId="9" type="noConversion"/>
  </si>
  <si>
    <t>泥浆护壁系数1.5</t>
    <phoneticPr fontId="9" type="noConversion"/>
  </si>
  <si>
    <t>表3.3-2、表3.3-5</t>
    <phoneticPr fontId="9" type="noConversion"/>
  </si>
  <si>
    <r>
      <rPr>
        <b/>
        <sz val="10"/>
        <color rgb="FF00B050"/>
        <rFont val="宋体"/>
        <family val="3"/>
        <charset val="134"/>
        <scheme val="minor"/>
      </rPr>
      <t>钻探基价</t>
    </r>
    <r>
      <rPr>
        <sz val="10"/>
        <rFont val="宋体"/>
        <family val="3"/>
        <charset val="134"/>
        <scheme val="minor"/>
      </rPr>
      <t>可以在</t>
    </r>
    <r>
      <rPr>
        <b/>
        <sz val="10"/>
        <color rgb="FF00B050"/>
        <rFont val="宋体"/>
        <family val="3"/>
        <charset val="134"/>
        <scheme val="minor"/>
      </rPr>
      <t>《使用手册》第42页</t>
    </r>
    <r>
      <rPr>
        <sz val="10"/>
        <rFont val="宋体"/>
        <family val="3"/>
        <charset val="134"/>
        <scheme val="minor"/>
      </rPr>
      <t>附近的钻探收费表中找到。</t>
    </r>
    <r>
      <rPr>
        <b/>
        <sz val="10"/>
        <color rgb="FF00B050"/>
        <rFont val="宋体"/>
        <family val="3"/>
        <charset val="134"/>
        <scheme val="minor"/>
      </rPr>
      <t>【表3.3-2】</t>
    </r>
    <phoneticPr fontId="9" type="noConversion"/>
  </si>
  <si>
    <r>
      <t>泥浆护壁</t>
    </r>
    <r>
      <rPr>
        <b/>
        <sz val="10"/>
        <color rgb="FF00B050"/>
        <rFont val="宋体"/>
        <family val="3"/>
        <charset val="134"/>
        <scheme val="minor"/>
      </rPr>
      <t>附加系数</t>
    </r>
    <r>
      <rPr>
        <sz val="10"/>
        <rFont val="宋体"/>
        <family val="3"/>
        <charset val="134"/>
        <scheme val="minor"/>
      </rPr>
      <t>可以在第</t>
    </r>
    <r>
      <rPr>
        <b/>
        <sz val="10"/>
        <color rgb="FF00B050"/>
        <rFont val="宋体"/>
        <family val="3"/>
        <charset val="134"/>
        <scheme val="minor"/>
      </rPr>
      <t>48—49页</t>
    </r>
    <r>
      <rPr>
        <sz val="10"/>
        <rFont val="宋体"/>
        <family val="3"/>
        <charset val="134"/>
        <scheme val="minor"/>
      </rPr>
      <t>附近的附加调整系数表中找到。</t>
    </r>
    <r>
      <rPr>
        <b/>
        <sz val="10"/>
        <color rgb="FF00B050"/>
        <rFont val="宋体"/>
        <family val="3"/>
        <charset val="134"/>
        <scheme val="minor"/>
      </rPr>
      <t>【表3.3-5】</t>
    </r>
    <phoneticPr fontId="9" type="noConversion"/>
  </si>
  <si>
    <t> 表7.2-1</t>
    <phoneticPr fontId="9" type="noConversion"/>
  </si>
  <si>
    <t> 表8.2-1</t>
    <phoneticPr fontId="9" type="noConversion"/>
  </si>
  <si>
    <t> 表8.3-1</t>
    <phoneticPr fontId="9" type="noConversion"/>
  </si>
  <si>
    <t> 表8.4-1</t>
    <phoneticPr fontId="9" type="noConversion"/>
  </si>
  <si>
    <t>水上作业系数:2.5</t>
    <phoneticPr fontId="9" type="noConversion"/>
  </si>
  <si>
    <t>为啥表3-地质测绘单独一个表</t>
    <phoneticPr fontId="9" type="noConversion"/>
  </si>
  <si>
    <r>
      <t>工程测量</t>
    </r>
    <r>
      <rPr>
        <b/>
        <sz val="10"/>
        <color rgb="FF00B050"/>
        <rFont val="宋体"/>
        <family val="3"/>
        <charset val="134"/>
        <scheme val="major"/>
      </rPr>
      <t>技术工作收费</t>
    </r>
    <r>
      <rPr>
        <sz val="10"/>
        <color theme="1"/>
        <rFont val="宋体"/>
        <family val="3"/>
        <charset val="134"/>
        <scheme val="major"/>
      </rPr>
      <t>比例通常为</t>
    </r>
    <r>
      <rPr>
        <b/>
        <sz val="10"/>
        <color rgb="FF00B050"/>
        <rFont val="宋体"/>
        <family val="3"/>
        <charset val="134"/>
        <scheme val="major"/>
      </rPr>
      <t>`22%`</t>
    </r>
    <r>
      <rPr>
        <sz val="10"/>
        <color theme="1"/>
        <rFont val="宋体"/>
        <family val="3"/>
        <charset val="134"/>
        <scheme val="major"/>
      </rPr>
      <t>。在《使用手册》第25页可以找到这一比例</t>
    </r>
    <phoneticPr fontId="9" type="noConversion"/>
  </si>
  <si>
    <t>默认;0.22</t>
    <phoneticPr fontId="9" type="noConversion"/>
  </si>
  <si>
    <t>线路航测</t>
    <phoneticPr fontId="9" type="noConversion"/>
  </si>
  <si>
    <t>走向图编制</t>
    <phoneticPr fontId="9" type="noConversion"/>
  </si>
  <si>
    <t>线路航测、走向图编制 不加系数</t>
    <phoneticPr fontId="9" type="noConversion"/>
  </si>
  <si>
    <t>不造标系数0.6</t>
    <phoneticPr fontId="9" type="noConversion"/>
  </si>
  <si>
    <t>【系数】数字化测绘，系数1.5</t>
    <phoneticPr fontId="9" type="noConversion"/>
  </si>
  <si>
    <r>
      <t>来自2002</t>
    </r>
    <r>
      <rPr>
        <b/>
        <sz val="10"/>
        <color rgb="FF00B050"/>
        <rFont val="宋体"/>
        <family val="3"/>
        <charset val="134"/>
        <scheme val="major"/>
      </rPr>
      <t>《使用手册》表2.2-2</t>
    </r>
    <r>
      <rPr>
        <sz val="10"/>
        <color theme="1"/>
        <rFont val="宋体"/>
        <family val="3"/>
        <charset val="134"/>
        <scheme val="major"/>
      </rPr>
      <t>，控制测量，GPS测量C级，中等复杂程度，4274元/点。</t>
    </r>
    <phoneticPr fontId="9" type="noConversion"/>
  </si>
  <si>
    <t>控制测量</t>
    <phoneticPr fontId="9" type="noConversion"/>
  </si>
  <si>
    <t>【系数】元素1为"控制测量","二、三、四等三角(边)不造标"，系数0.6</t>
    <phoneticPr fontId="9" type="noConversion"/>
  </si>
  <si>
    <t>室内外综合判调，定额核减30%</t>
    <phoneticPr fontId="9" type="noConversion"/>
  </si>
  <si>
    <r>
      <rPr>
        <sz val="10"/>
        <color rgb="FF00B050"/>
        <rFont val="宋体"/>
        <family val="3"/>
        <charset val="134"/>
        <scheme val="major"/>
      </rPr>
      <t>这些行在工作簿中没有再次叠加`22%`技术费</t>
    </r>
    <r>
      <rPr>
        <sz val="10"/>
        <color theme="1"/>
        <rFont val="宋体"/>
        <family val="3"/>
        <charset val="134"/>
        <scheme val="major"/>
      </rPr>
      <t>。</t>
    </r>
    <phoneticPr fontId="9" type="noConversion"/>
  </si>
  <si>
    <t>航线网布点时定额核减15%。
区域网布点时定额核减30%。</t>
    <phoneticPr fontId="9" type="noConversion"/>
  </si>
  <si>
    <t>像控点联测</t>
    <phoneticPr fontId="9" type="noConversion"/>
  </si>
  <si>
    <t>《财建〔2009〕17号》P14-像控点联测</t>
    <phoneticPr fontId="9" type="noConversion"/>
  </si>
  <si>
    <t>地物、地貌调绘</t>
    <phoneticPr fontId="9" type="noConversion"/>
  </si>
  <si>
    <t>《财建〔2009〕17号》P15-地物、地貌调绘</t>
    <phoneticPr fontId="9" type="noConversion"/>
  </si>
  <si>
    <t>《财建〔2009〕17号》测绘生产成本定额。P19</t>
    <phoneticPr fontId="9" type="noConversion"/>
  </si>
  <si>
    <t>表2.2-3</t>
    <phoneticPr fontId="9" type="noConversion"/>
  </si>
  <si>
    <t>系数0.7综合判调,不宜直接扩大适用</t>
    <phoneticPr fontId="9" type="noConversion"/>
  </si>
  <si>
    <t>系数1.2综合判调,不宜直接扩大适用</t>
    <phoneticPr fontId="9" type="noConversion"/>
  </si>
  <si>
    <t>2002表2.2-2</t>
    <phoneticPr fontId="9" type="noConversion"/>
  </si>
  <si>
    <t>数字化测绘系数1.5、植被覆盖系数1.3</t>
    <phoneticPr fontId="9" type="noConversion"/>
  </si>
  <si>
    <t>【系数】植被覆盖，系数1.3
（其实套用的是“覆盖或隐蔽程度&gt;60%，1.2-1.5”）</t>
    <phoneticPr fontId="9" type="noConversion"/>
  </si>
  <si>
    <t>技术工作费调整系数</t>
    <phoneticPr fontId="9" type="noConversion"/>
  </si>
  <si>
    <t>【DWB批注】价格or总体</t>
    <phoneticPr fontId="9" type="noConversion"/>
  </si>
  <si>
    <t>技术工作费调整系数</t>
    <phoneticPr fontId="9" type="noConversion"/>
  </si>
  <si>
    <r>
      <t>【经验数】</t>
    </r>
    <r>
      <rPr>
        <b/>
        <sz val="10"/>
        <color rgb="FFC00000"/>
        <rFont val="宋体"/>
        <family val="3"/>
        <charset val="134"/>
        <scheme val="major"/>
      </rPr>
      <t>单价</t>
    </r>
    <phoneticPr fontId="9" type="noConversion"/>
  </si>
  <si>
    <r>
      <t>【经验数】</t>
    </r>
    <r>
      <rPr>
        <b/>
        <sz val="10"/>
        <color rgb="FFC00000"/>
        <rFont val="宋体"/>
        <family val="3"/>
        <charset val="134"/>
        <scheme val="major"/>
      </rPr>
      <t>实物工作费调整系数</t>
    </r>
    <phoneticPr fontId="9" type="noConversion"/>
  </si>
  <si>
    <r>
      <t>【经验数】</t>
    </r>
    <r>
      <rPr>
        <b/>
        <sz val="10"/>
        <color rgb="FFC00000"/>
        <rFont val="宋体"/>
        <family val="3"/>
        <charset val="134"/>
        <scheme val="major"/>
      </rPr>
      <t>技术工作费调整系数</t>
    </r>
    <phoneticPr fontId="9" type="noConversion"/>
  </si>
  <si>
    <t>(不要被管勘智算脚本识别)</t>
    <phoneticPr fontId="9" type="noConversion"/>
  </si>
  <si>
    <t>实物工作费（元）</t>
    <phoneticPr fontId="9" type="noConversion"/>
  </si>
  <si>
    <t>实物工作费调整系数</t>
    <phoneticPr fontId="9" type="noConversion"/>
  </si>
  <si>
    <t>【DWB批注】-技术工作费调整系数</t>
    <phoneticPr fontId="9" type="noConversion"/>
  </si>
  <si>
    <t>【DWB批注】-实物工作费调整系数</t>
    <phoneticPr fontId="9" type="noConversion"/>
  </si>
  <si>
    <t>类别</t>
    <phoneticPr fontId="9" type="noConversion"/>
  </si>
  <si>
    <t>土工试验</t>
    <phoneticPr fontId="9" type="noConversion"/>
  </si>
  <si>
    <t>要素-技术</t>
    <phoneticPr fontId="9" type="noConversion"/>
  </si>
  <si>
    <t>勘探点测放</t>
    <phoneticPr fontId="9" type="noConversion"/>
  </si>
  <si>
    <t>室内试验单项</t>
    <phoneticPr fontId="9" type="noConversion"/>
  </si>
  <si>
    <t>此列规则明确，不需要经验数</t>
  </si>
  <si>
    <t>【经验数】数字化测绘系数1.5、植被覆盖系数1.3</t>
    <phoneticPr fontId="9" type="noConversion"/>
  </si>
  <si>
    <t>注意：没有直接写“三角（边）一级不造标0.6”，应作为样表经验规则</t>
    <phoneticPr fontId="9" type="noConversion"/>
  </si>
  <si>
    <t>《财建〔2009〕17号》测绘生产成本定额。
行业市场价3500-5500</t>
    <phoneticPr fontId="9" type="noConversion"/>
  </si>
  <si>
    <t>此列规则明确，不需要经验数</t>
    <phoneticPr fontId="9" type="noConversion"/>
  </si>
  <si>
    <t>实物111工作费调整系数-测试</t>
    <phoneticPr fontId="9" type="noConversion"/>
  </si>
  <si>
    <t>技术111工作费调整系数-测试</t>
    <phoneticPr fontId="9" type="noConversion"/>
  </si>
  <si>
    <t>单价111匹配-测试</t>
    <phoneticPr fontId="9" type="noConversion"/>
  </si>
  <si>
    <r>
      <t>匹配说明-</t>
    </r>
    <r>
      <rPr>
        <b/>
        <sz val="10"/>
        <color rgb="FFC00000"/>
        <rFont val="宋体"/>
        <family val="3"/>
        <charset val="134"/>
        <scheme val="minor"/>
      </rPr>
      <t>实物</t>
    </r>
    <r>
      <rPr>
        <b/>
        <sz val="10"/>
        <color theme="1"/>
        <rFont val="宋体"/>
        <family val="3"/>
        <charset val="134"/>
        <scheme val="minor"/>
      </rPr>
      <t>工作费调整系数</t>
    </r>
    <phoneticPr fontId="9" type="noConversion"/>
  </si>
  <si>
    <r>
      <t>匹配说明-</t>
    </r>
    <r>
      <rPr>
        <b/>
        <sz val="10"/>
        <color rgb="FFC00000"/>
        <rFont val="宋体"/>
        <family val="3"/>
        <charset val="134"/>
        <scheme val="minor"/>
      </rPr>
      <t>技术</t>
    </r>
    <r>
      <rPr>
        <b/>
        <sz val="10"/>
        <color theme="1"/>
        <rFont val="宋体"/>
        <family val="3"/>
        <charset val="134"/>
        <scheme val="minor"/>
      </rPr>
      <t>工作费调整系数</t>
    </r>
    <phoneticPr fontId="9" type="noConversion"/>
  </si>
  <si>
    <t>【第一层】【系数】要素1：岩土工程勘察。
系数："甲级","1.2";"乙级","1.0";"丙级","0.8"}</t>
    <phoneticPr fontId="9" type="noConversion"/>
  </si>
  <si>
    <t>【第一层】【系数】要素1：勘探点测放。
系数：经验数为0</t>
    <phoneticPr fontId="9" type="noConversion"/>
  </si>
  <si>
    <t>【第一层】【系数】要素1：岩土工程勘察。
系数："甲级","1.2";"乙级","1.0";"丙级","0.8"</t>
    <phoneticPr fontId="9" type="noConversion"/>
  </si>
  <si>
    <t>【第一层】【系数】要素1：水文地质勘察。
系数："简单","0.27";"中等","0.30";"复杂","0.33"</t>
    <phoneticPr fontId="9" type="noConversion"/>
  </si>
  <si>
    <t>【第一层】【系数】要素1：工程水文。
系数：固定0.22</t>
    <phoneticPr fontId="9" type="noConversion"/>
  </si>
  <si>
    <t>【第一层】【系数】要素1：工程物探。
系数："甲级","1.2";"乙级","1";"丙级","0.8";"物探","0.22"</t>
    <phoneticPr fontId="9" type="noConversion"/>
  </si>
  <si>
    <t>【第一层】【系数】要素1：工程物探。高密度电法经验系数：1.0</t>
    <phoneticPr fontId="9" type="noConversion"/>
  </si>
  <si>
    <t>【第一层】【系数】要素1：室内试验。
系数："甲级","1.2";"乙级","1.0";"丙级","0.8";"试验","0.1"</t>
    <phoneticPr fontId="9" type="noConversion"/>
  </si>
  <si>
    <t>【第一层】【系数】元素1为“线路航测”，系数0</t>
    <phoneticPr fontId="9" type="noConversion"/>
  </si>
  <si>
    <t>【第一层】【系数】元素1为“走向图编制”，系数0</t>
    <phoneticPr fontId="9" type="noConversion"/>
  </si>
  <si>
    <t>【第一层】【系数】【默认】除了特殊说明的，所有行默认系数0.22</t>
    <phoneticPr fontId="9" type="noConversion"/>
  </si>
  <si>
    <t>【】【问题】怎么判断数字化或者植被覆盖？</t>
    <phoneticPr fontId="9" type="noConversion"/>
  </si>
  <si>
    <t>委托方信息抓取</t>
    <phoneticPr fontId="9" type="noConversion"/>
  </si>
  <si>
    <t>数量(信息抓取)</t>
    <phoneticPr fontId="9" type="noConversion"/>
  </si>
  <si>
    <t>实物工作费调整系数(信息抓取)</t>
    <phoneticPr fontId="9" type="noConversion"/>
  </si>
  <si>
    <t>委托方备注(信息抓取)</t>
    <phoneticPr fontId="9" type="noConversion"/>
  </si>
  <si>
    <t>抓取日志</t>
    <phoneticPr fontId="9" type="noConversion"/>
  </si>
  <si>
    <t>预警信息</t>
    <phoneticPr fontId="9" type="noConversion"/>
  </si>
  <si>
    <t>预警细节</t>
    <phoneticPr fontId="9" type="noConversion"/>
  </si>
  <si>
    <t>预警参数</t>
    <phoneticPr fontId="9" type="noConversion"/>
  </si>
  <si>
    <t>数量</t>
    <phoneticPr fontId="9" type="noConversion"/>
  </si>
  <si>
    <t>数量</t>
    <phoneticPr fontId="9" type="noConversion"/>
  </si>
  <si>
    <t>首级控制测量</t>
    <phoneticPr fontId="9" type="noConversion"/>
  </si>
  <si>
    <t>站场（地形图）</t>
    <phoneticPr fontId="9" type="noConversion"/>
  </si>
  <si>
    <t>站场（区位图）</t>
    <phoneticPr fontId="9" type="noConversion"/>
  </si>
  <si>
    <t>山岭隧道（洞身）</t>
    <phoneticPr fontId="9" type="noConversion"/>
  </si>
  <si>
    <t>山岭隧道（洞口）</t>
    <phoneticPr fontId="9" type="noConversion"/>
  </si>
  <si>
    <t>河流大中型穿越（陆地）</t>
    <phoneticPr fontId="9" type="noConversion"/>
  </si>
  <si>
    <t>阀室（地形图）</t>
    <phoneticPr fontId="9" type="noConversion"/>
  </si>
  <si>
    <t>地下管线测量</t>
    <phoneticPr fontId="9" type="noConversion"/>
  </si>
  <si>
    <t>金属管线探查</t>
    <phoneticPr fontId="9" type="noConversion"/>
  </si>
  <si>
    <t>断面测量</t>
    <phoneticPr fontId="9" type="noConversion"/>
  </si>
  <si>
    <t>标准贯入试验</t>
    <phoneticPr fontId="9" type="noConversion"/>
  </si>
  <si>
    <t>动力触探</t>
    <phoneticPr fontId="9" type="noConversion"/>
  </si>
  <si>
    <t>地应力测试</t>
    <phoneticPr fontId="9" type="noConversion"/>
  </si>
  <si>
    <t>压注水试验</t>
    <phoneticPr fontId="9" type="noConversion"/>
  </si>
  <si>
    <t>高密度电法</t>
    <phoneticPr fontId="9" type="noConversion"/>
  </si>
  <si>
    <t>检波点·炮</t>
    <phoneticPr fontId="9" type="noConversion"/>
  </si>
  <si>
    <t>大地电磁法</t>
    <phoneticPr fontId="9" type="noConversion"/>
  </si>
  <si>
    <t>声波测井（参考指引）</t>
    <phoneticPr fontId="9" type="noConversion"/>
  </si>
  <si>
    <t>四极法</t>
    <phoneticPr fontId="9" type="noConversion"/>
  </si>
  <si>
    <t>筛析法（沙、砾）</t>
    <phoneticPr fontId="9" type="noConversion"/>
  </si>
  <si>
    <t>休止角（参考筛析法（沙、砾））</t>
    <phoneticPr fontId="9" type="noConversion"/>
  </si>
  <si>
    <t>单轴抗压强度</t>
    <phoneticPr fontId="9" type="noConversion"/>
  </si>
  <si>
    <t>土腐蚀试验</t>
    <phoneticPr fontId="9" type="noConversion"/>
  </si>
  <si>
    <t>1:1000</t>
    <phoneticPr fontId="9" type="noConversion"/>
  </si>
  <si>
    <t>空</t>
    <phoneticPr fontId="9" type="noConversion"/>
  </si>
  <si>
    <t>水文地质勘察</t>
    <phoneticPr fontId="9" type="noConversion"/>
  </si>
  <si>
    <t>合计</t>
    <phoneticPr fontId="9" type="noConversion"/>
  </si>
  <si>
    <t>合计</t>
    <phoneticPr fontId="9" type="noConversion"/>
  </si>
  <si>
    <t>合计</t>
    <phoneticPr fontId="9" type="noConversion"/>
  </si>
  <si>
    <t>基价（元）</t>
    <phoneticPr fontId="9" type="noConversion"/>
  </si>
  <si>
    <t>(空)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</si>
</sst>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_ "/>
    <numFmt numFmtId="177" formatCode="0.00_);\(0.00\)"/>
    <numFmt numFmtId="178" formatCode="0.00_ "/>
    <numFmt numFmtId="179" formatCode="0.00_);[Red]\(0.00\)"/>
    <numFmt numFmtId="180" formatCode="0.0_);\(0.0\)"/>
    <numFmt numFmtId="181" formatCode="0_);[Red]\(0\)"/>
    <numFmt numFmtId="182" formatCode="0.0_ "/>
    <numFmt numFmtId="183" formatCode="0.000_ "/>
    <numFmt numFmtId="184" formatCode="0.0000_ "/>
  </numFmts>
  <fonts count="36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4"/>
      <name val="仿宋_GB2312"/>
      <family val="3"/>
      <charset val="134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  <scheme val="minor"/>
    </font>
    <font>
      <b/>
      <sz val="14"/>
      <name val="Times New Roman"/>
      <family val="1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仿宋_GB2312"/>
      <family val="3"/>
      <charset val="134"/>
    </font>
    <font>
      <sz val="10"/>
      <color rgb="FFFF0000"/>
      <name val="宋体"/>
      <family val="3"/>
      <charset val="134"/>
      <scheme val="minor"/>
    </font>
    <font>
      <vertAlign val="superscript"/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4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b/>
      <sz val="10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sz val="10"/>
      <name val="宋体"/>
      <family val="3"/>
      <charset val="134"/>
      <scheme val="major"/>
    </font>
    <font>
      <sz val="10"/>
      <color theme="1"/>
      <name val="宋体"/>
      <family val="3"/>
      <charset val="134"/>
      <scheme val="major"/>
    </font>
    <font>
      <vertAlign val="superscript"/>
      <sz val="10"/>
      <name val="宋体"/>
      <family val="3"/>
      <charset val="134"/>
      <scheme val="major"/>
    </font>
    <font>
      <b/>
      <sz val="10"/>
      <color theme="1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sz val="10"/>
      <color rgb="FF000000"/>
      <name val="宋体"/>
      <family val="3"/>
      <charset val="134"/>
      <scheme val="major"/>
    </font>
    <font>
      <b/>
      <sz val="9"/>
      <color theme="1"/>
      <name val="宋体"/>
      <family val="3"/>
      <charset val="134"/>
      <scheme val="minor"/>
    </font>
    <font>
      <b/>
      <sz val="10"/>
      <color rgb="FF00B050"/>
      <name val="宋体"/>
      <family val="3"/>
      <charset val="134"/>
      <scheme val="major"/>
    </font>
    <font>
      <sz val="10"/>
      <color rgb="FF00B050"/>
      <name val="宋体"/>
      <family val="3"/>
      <charset val="134"/>
      <scheme val="major"/>
    </font>
    <font>
      <sz val="11"/>
      <color theme="1"/>
      <name val="宋体"/>
      <family val="3"/>
      <charset val="134"/>
      <scheme val="minor"/>
    </font>
    <font>
      <b/>
      <sz val="10"/>
      <color rgb="FF00B050"/>
      <name val="宋体"/>
      <family val="3"/>
      <charset val="134"/>
      <scheme val="minor"/>
    </font>
    <font>
      <b/>
      <sz val="10"/>
      <color rgb="FFC00000"/>
      <name val="宋体"/>
      <family val="3"/>
      <charset val="134"/>
      <scheme val="major"/>
    </font>
    <font>
      <b/>
      <sz val="10"/>
      <color theme="4" tint="0.39997558519241921"/>
      <name val="宋体"/>
      <family val="3"/>
      <charset val="134"/>
      <scheme val="major"/>
    </font>
    <font>
      <b/>
      <sz val="10"/>
      <color rgb="FFC00000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29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9" fontId="4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80" fontId="4" fillId="0" borderId="5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right" vertical="center" wrapText="1"/>
    </xf>
    <xf numFmtId="178" fontId="4" fillId="0" borderId="5" xfId="0" applyNumberFormat="1" applyFont="1" applyBorder="1" applyAlignment="1">
      <alignment horizontal="center" vertical="center" wrapText="1"/>
    </xf>
    <xf numFmtId="176" fontId="7" fillId="0" borderId="5" xfId="0" applyNumberFormat="1" applyFont="1" applyBorder="1" applyAlignment="1">
      <alignment horizontal="right" vertical="center"/>
    </xf>
    <xf numFmtId="178" fontId="7" fillId="0" borderId="5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78" fontId="4" fillId="0" borderId="5" xfId="0" applyNumberFormat="1" applyFont="1" applyBorder="1" applyAlignment="1">
      <alignment horizontal="right" vertical="center" wrapText="1"/>
    </xf>
    <xf numFmtId="181" fontId="4" fillId="0" borderId="1" xfId="0" applyNumberFormat="1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/>
    </xf>
    <xf numFmtId="179" fontId="9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182" fontId="3" fillId="0" borderId="1" xfId="0" applyNumberFormat="1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82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left"/>
    </xf>
    <xf numFmtId="178" fontId="4" fillId="0" borderId="1" xfId="0" applyNumberFormat="1" applyFont="1" applyBorder="1" applyAlignment="1">
      <alignment vertical="center" wrapText="1"/>
    </xf>
    <xf numFmtId="184" fontId="4" fillId="0" borderId="1" xfId="0" applyNumberFormat="1" applyFont="1" applyBorder="1" applyAlignment="1">
      <alignment vertical="center" wrapText="1"/>
    </xf>
    <xf numFmtId="178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left" vertical="center"/>
    </xf>
    <xf numFmtId="9" fontId="7" fillId="0" borderId="1" xfId="0" applyNumberFormat="1" applyFont="1" applyBorder="1">
      <alignment vertical="center"/>
    </xf>
    <xf numFmtId="184" fontId="7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 wrapText="1"/>
    </xf>
    <xf numFmtId="176" fontId="0" fillId="0" borderId="0" xfId="0" applyNumberFormat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79" fontId="20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49" fontId="20" fillId="6" borderId="1" xfId="0" applyNumberFormat="1" applyFont="1" applyFill="1" applyBorder="1" applyAlignment="1">
      <alignment horizontal="center" vertical="center" wrapText="1"/>
    </xf>
    <xf numFmtId="179" fontId="20" fillId="6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81" fontId="22" fillId="0" borderId="1" xfId="0" applyNumberFormat="1" applyFont="1" applyBorder="1" applyAlignment="1">
      <alignment horizontal="center" vertical="center" wrapText="1"/>
    </xf>
    <xf numFmtId="181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78" fontId="22" fillId="0" borderId="1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9" fontId="23" fillId="0" borderId="0" xfId="0" applyNumberFormat="1" applyFont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 shrinkToFit="1"/>
    </xf>
    <xf numFmtId="0" fontId="23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177" fontId="32" fillId="0" borderId="13" xfId="0" applyNumberFormat="1" applyFont="1" applyBorder="1" applyAlignment="1">
      <alignment horizontal="left" vertical="center"/>
    </xf>
    <xf numFmtId="0" fontId="29" fillId="4" borderId="14" xfId="0" applyFont="1" applyFill="1" applyBorder="1" applyAlignment="1">
      <alignment horizontal="left" vertical="center" wrapText="1"/>
    </xf>
    <xf numFmtId="0" fontId="29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177" fontId="32" fillId="0" borderId="14" xfId="0" applyNumberFormat="1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 wrapText="1"/>
    </xf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vertical="center" wrapText="1" shrinkToFit="1"/>
    </xf>
    <xf numFmtId="0" fontId="22" fillId="0" borderId="14" xfId="0" applyFont="1" applyBorder="1" applyAlignment="1">
      <alignment horizontal="center" vertical="center" wrapText="1"/>
    </xf>
    <xf numFmtId="179" fontId="22" fillId="0" borderId="14" xfId="0" applyNumberFormat="1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176" fontId="23" fillId="0" borderId="14" xfId="0" applyNumberFormat="1" applyFont="1" applyBorder="1" applyAlignment="1">
      <alignment horizontal="center" vertical="center" wrapText="1"/>
    </xf>
    <xf numFmtId="179" fontId="4" fillId="0" borderId="14" xfId="0" applyNumberFormat="1" applyFont="1" applyBorder="1" applyAlignment="1">
      <alignment horizontal="center" vertical="center" wrapText="1"/>
    </xf>
    <xf numFmtId="179" fontId="29" fillId="0" borderId="14" xfId="0" applyNumberFormat="1" applyFont="1" applyBorder="1" applyAlignment="1">
      <alignment horizontal="center" vertical="center" wrapText="1"/>
    </xf>
    <xf numFmtId="0" fontId="30" fillId="0" borderId="14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9" fillId="4" borderId="15" xfId="0" applyFont="1" applyFill="1" applyBorder="1" applyAlignment="1">
      <alignment horizontal="left" vertical="center" wrapText="1"/>
    </xf>
    <xf numFmtId="0" fontId="34" fillId="6" borderId="14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 wrapText="1"/>
    </xf>
    <xf numFmtId="179" fontId="32" fillId="0" borderId="14" xfId="0" applyNumberFormat="1" applyFont="1" applyBorder="1" applyAlignment="1">
      <alignment horizontal="left" vertical="center" wrapText="1"/>
    </xf>
    <xf numFmtId="179" fontId="4" fillId="0" borderId="14" xfId="0" applyNumberFormat="1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 wrapText="1"/>
    </xf>
    <xf numFmtId="0" fontId="25" fillId="6" borderId="14" xfId="0" applyFont="1" applyFill="1" applyBorder="1" applyAlignment="1">
      <alignment horizontal="center" vertical="center" wrapText="1"/>
    </xf>
    <xf numFmtId="183" fontId="23" fillId="0" borderId="14" xfId="0" applyNumberFormat="1" applyFont="1" applyBorder="1" applyAlignment="1">
      <alignment horizontal="center" vertical="center" wrapText="1"/>
    </xf>
    <xf numFmtId="179" fontId="22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25" fillId="9" borderId="14" xfId="0" applyFont="1" applyFill="1" applyBorder="1" applyAlignment="1">
      <alignment horizontal="center" vertical="center" wrapText="1"/>
    </xf>
    <xf numFmtId="0" fontId="25" fillId="10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5" fillId="10" borderId="1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79" fontId="4" fillId="0" borderId="4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right" vertical="center" wrapText="1"/>
    </xf>
    <xf numFmtId="176" fontId="4" fillId="0" borderId="1" xfId="0" applyNumberFormat="1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right" vertical="center"/>
    </xf>
    <xf numFmtId="17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0" fillId="4" borderId="1" xfId="0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0" fontId="18" fillId="0" borderId="10" xfId="0" applyFont="1" applyBorder="1">
      <alignment vertical="center"/>
    </xf>
    <xf numFmtId="0" fontId="18" fillId="0" borderId="0" xfId="0" applyFont="1">
      <alignment vertical="center"/>
    </xf>
    <xf numFmtId="181" fontId="25" fillId="0" borderId="5" xfId="0" applyNumberFormat="1" applyFont="1" applyBorder="1" applyAlignment="1">
      <alignment horizontal="center" vertical="center"/>
    </xf>
    <xf numFmtId="179" fontId="25" fillId="0" borderId="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8" xfId="0" applyFont="1" applyBorder="1" applyAlignment="1">
      <alignment vertical="center" wrapText="1"/>
    </xf>
    <xf numFmtId="0" fontId="25" fillId="0" borderId="14" xfId="0" applyFont="1" applyBorder="1" applyAlignment="1">
      <alignment vertical="center" wrapText="1"/>
    </xf>
    <xf numFmtId="0" fontId="25" fillId="0" borderId="14" xfId="0" applyFont="1" applyBorder="1" applyAlignment="1">
      <alignment horizontal="left" vertical="center" wrapText="1"/>
    </xf>
    <xf numFmtId="179" fontId="25" fillId="0" borderId="14" xfId="0" applyNumberFormat="1" applyFont="1" applyBorder="1" applyAlignment="1">
      <alignment horizontal="center" vertical="center"/>
    </xf>
    <xf numFmtId="176" fontId="14" fillId="0" borderId="14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176" fontId="14" fillId="0" borderId="5" xfId="0" applyNumberFormat="1" applyFont="1" applyBorder="1" applyAlignment="1">
      <alignment horizontal="right" vertical="center"/>
    </xf>
    <xf numFmtId="0" fontId="14" fillId="0" borderId="5" xfId="0" applyFont="1" applyBorder="1" applyAlignment="1">
      <alignment horizontal="center" vertical="center"/>
    </xf>
    <xf numFmtId="178" fontId="14" fillId="0" borderId="5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179" fontId="20" fillId="0" borderId="14" xfId="0" applyNumberFormat="1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76" fontId="14" fillId="0" borderId="9" xfId="0" applyNumberFormat="1" applyFont="1" applyBorder="1">
      <alignment vertical="center"/>
    </xf>
    <xf numFmtId="176" fontId="14" fillId="0" borderId="7" xfId="0" applyNumberFormat="1" applyFont="1" applyBorder="1">
      <alignment vertical="center"/>
    </xf>
    <xf numFmtId="0" fontId="21" fillId="0" borderId="0" xfId="0" applyFont="1" applyAlignment="1">
      <alignment vertical="center" wrapText="1"/>
    </xf>
    <xf numFmtId="176" fontId="25" fillId="0" borderId="14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176" fontId="14" fillId="0" borderId="2" xfId="0" applyNumberFormat="1" applyFont="1" applyBorder="1" applyAlignment="1">
      <alignment horizontal="center" vertical="center"/>
    </xf>
    <xf numFmtId="176" fontId="14" fillId="0" borderId="9" xfId="0" applyNumberFormat="1" applyFont="1" applyBorder="1" applyAlignment="1">
      <alignment horizontal="center" vertical="center"/>
    </xf>
    <xf numFmtId="176" fontId="14" fillId="0" borderId="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49" fontId="8" fillId="4" borderId="3" xfId="0" applyNumberFormat="1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7" fontId="8" fillId="5" borderId="3" xfId="0" applyNumberFormat="1" applyFont="1" applyFill="1" applyBorder="1" applyAlignment="1">
      <alignment horizontal="center" vertical="center"/>
    </xf>
    <xf numFmtId="178" fontId="8" fillId="0" borderId="3" xfId="0" applyNumberFormat="1" applyFont="1" applyBorder="1" applyAlignment="1">
      <alignment horizontal="right" vertical="center"/>
    </xf>
    <xf numFmtId="178" fontId="8" fillId="5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8" fillId="2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right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82" fontId="8" fillId="0" borderId="5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82" fontId="3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79" fontId="20" fillId="0" borderId="1" xfId="0" applyNumberFormat="1" applyFont="1" applyBorder="1" applyAlignment="1">
      <alignment horizontal="center" vertical="center" wrapText="1"/>
    </xf>
    <xf numFmtId="179" fontId="20" fillId="0" borderId="1" xfId="0" applyNumberFormat="1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176" fontId="8" fillId="0" borderId="3" xfId="0" applyNumberFormat="1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77" fontId="8" fillId="0" borderId="3" xfId="0" applyNumberFormat="1" applyFont="1" applyBorder="1" applyAlignment="1">
      <alignment horizontal="center"/>
    </xf>
    <xf numFmtId="178" fontId="8" fillId="0" borderId="3" xfId="0" applyNumberFormat="1" applyFont="1" applyBorder="1" applyAlignment="1">
      <alignment horizontal="right"/>
    </xf>
    <xf numFmtId="178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right"/>
    </xf>
    <xf numFmtId="0" fontId="8" fillId="0" borderId="8" xfId="0" applyFont="1" applyBorder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萌 石" id="{2FD18CED-DEED-4D6E-B7D4-0ECCE45E3880}" userId="2aba639a1dd44068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6-03-02T12:05:32.30" personId="{2FD18CED-DEED-4D6E-B7D4-0ECCE45E3880}" id="{CE01A1B9-1B20-4AAD-8085-9602F73D1194}">
    <text xml:space="preserve">“动手干活”的钱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4"/>
  <sheetViews>
    <sheetView workbookViewId="0">
      <selection sqref="A1:D1"/>
    </sheetView>
  </sheetViews>
  <sheetFormatPr defaultColWidth="8.6640625" defaultRowHeight="14.4" x14ac:dyDescent="0.25"/>
  <cols>
    <col min="1" max="1" width="6.88671875" customWidth="1"/>
    <col min="2" max="2" width="37.33203125" customWidth="1"/>
    <col min="3" max="3" width="13.77734375" customWidth="1"/>
    <col min="4" max="4" width="29.109375" customWidth="1"/>
    <col min="5" max="5" width="6.44140625" customWidth="1"/>
    <col min="6" max="6" width="9.77734375" customWidth="1"/>
    <col min="7" max="7" width="12.6640625" customWidth="1"/>
    <col min="8" max="8" width="9.88671875" customWidth="1"/>
  </cols>
  <sheetData>
    <row r="1" spans="1:7" ht="43.05" customHeight="1" x14ac:dyDescent="0.25">
      <c r="A1" s="232" t="s">
        <v>388</v>
      </c>
      <c r="B1" s="232"/>
      <c r="C1" s="236"/>
      <c r="D1" s="252"/>
    </row>
    <row r="2" spans="1:7" ht="16.95" customHeight="1" x14ac:dyDescent="0.3">
      <c r="A2" s="55" t="s">
        <v>0</v>
      </c>
      <c r="B2" s="10"/>
      <c r="C2" s="45"/>
      <c r="D2" s="45"/>
    </row>
    <row r="3" spans="1:7" ht="25.95" customHeight="1" x14ac:dyDescent="0.25">
      <c r="A3" s="11" t="s">
        <v>1</v>
      </c>
      <c r="B3" s="11" t="s">
        <v>2</v>
      </c>
      <c r="C3" s="11" t="s">
        <v>3</v>
      </c>
      <c r="D3" s="11" t="s">
        <v>4</v>
      </c>
    </row>
    <row r="4" spans="1:7" x14ac:dyDescent="0.25">
      <c r="A4" s="14">
        <v>1</v>
      </c>
      <c r="B4" s="40" t="s">
        <v>5</v>
      </c>
      <c r="C4" s="56">
        <f>'表1-长输管道工程勘测费用'!I9/10000</f>
        <v>0</v>
      </c>
      <c r="D4" s="40" t="s">
        <v>6</v>
      </c>
    </row>
    <row r="5" spans="1:7" x14ac:dyDescent="0.25">
      <c r="A5" s="14">
        <v>2</v>
      </c>
      <c r="B5" s="40" t="s">
        <v>7</v>
      </c>
      <c r="C5" s="57">
        <f>'表2-通用工程测量费用'!N49/10000</f>
        <v>0</v>
      </c>
      <c r="D5" s="40" t="s">
        <v>8</v>
      </c>
    </row>
    <row r="6" spans="1:7" x14ac:dyDescent="0.25">
      <c r="A6" s="14">
        <v>3</v>
      </c>
      <c r="B6" s="40" t="s">
        <v>9</v>
      </c>
      <c r="C6" s="56">
        <f>'表3-地质测绘'!R13/10000</f>
        <v>0</v>
      </c>
      <c r="D6" s="40" t="s">
        <v>10</v>
      </c>
    </row>
    <row r="7" spans="1:7" x14ac:dyDescent="0.25">
      <c r="A7" s="14">
        <v>4</v>
      </c>
      <c r="B7" s="40" t="s">
        <v>11</v>
      </c>
      <c r="C7" s="56">
        <f>'表4-通用工程勘察费用'!R209/10000</f>
        <v>0</v>
      </c>
      <c r="D7" s="40" t="s">
        <v>12</v>
      </c>
    </row>
    <row r="8" spans="1:7" x14ac:dyDescent="0.25">
      <c r="A8" s="210" t="s">
        <v>13</v>
      </c>
      <c r="B8" s="210"/>
      <c r="C8" s="58">
        <f>SUM(C4:C7)</f>
        <v>0</v>
      </c>
      <c r="D8" s="59"/>
    </row>
    <row r="9" spans="1:7" x14ac:dyDescent="0.25">
      <c r="A9" s="210"/>
      <c r="B9" s="210"/>
      <c r="C9" s="60">
        <v>0.9</v>
      </c>
      <c r="D9" s="59" t="s">
        <v>14</v>
      </c>
    </row>
    <row r="10" spans="1:7" x14ac:dyDescent="0.25">
      <c r="A10" s="14">
        <v>5</v>
      </c>
      <c r="B10" s="40" t="s">
        <v>15</v>
      </c>
      <c r="C10" s="57">
        <f>C9*C8</f>
        <v>0</v>
      </c>
      <c r="D10" s="40"/>
    </row>
    <row r="11" spans="1:7" x14ac:dyDescent="0.25">
      <c r="A11" s="14">
        <v>6</v>
      </c>
      <c r="B11" s="40" t="s">
        <v>16</v>
      </c>
      <c r="C11" s="56">
        <f>'表5-其他费用'!R17/10000</f>
        <v>39.356000000000002</v>
      </c>
      <c r="D11" s="40" t="s">
        <v>17</v>
      </c>
      <c r="F11" s="1"/>
      <c r="G11" s="1"/>
    </row>
    <row r="12" spans="1:7" x14ac:dyDescent="0.25">
      <c r="A12" s="210" t="s">
        <v>18</v>
      </c>
      <c r="B12" s="210"/>
      <c r="C12" s="61">
        <f>ROUND(C10+C11,4)</f>
        <v>39.356000000000002</v>
      </c>
      <c r="D12" s="62"/>
      <c r="F12" s="63"/>
      <c r="G12" s="63"/>
    </row>
    <row r="13" spans="1:7" x14ac:dyDescent="0.25">
      <c r="A13" s="210" t="s">
        <v>19</v>
      </c>
      <c r="B13" s="210"/>
      <c r="C13" s="61">
        <f>ROUND(C12/1.06,4)</f>
        <v>37.128300000000003</v>
      </c>
      <c r="D13" s="62"/>
      <c r="F13" s="63"/>
      <c r="G13" s="63"/>
    </row>
    <row r="14" spans="1:7" x14ac:dyDescent="0.25">
      <c r="A14" s="210" t="s">
        <v>20</v>
      </c>
      <c r="B14" s="210"/>
      <c r="C14" s="61">
        <f>C12-C13</f>
        <v>2.2276999999999987</v>
      </c>
      <c r="D14" s="62"/>
      <c r="F14" s="63"/>
      <c r="G14" s="63"/>
    </row>
  </sheetData>
  <mergeCells count="6">
    <mergeCell ref="A14:B14"/>
    <mergeCell ref="A1:D1"/>
    <mergeCell ref="A8:B8"/>
    <mergeCell ref="A9:B9"/>
    <mergeCell ref="A12:B12"/>
    <mergeCell ref="A13:B13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EW9"/>
  <sheetViews>
    <sheetView workbookViewId="0">
      <selection activeCell="A5" sqref="A5"/>
    </sheetView>
  </sheetViews>
  <sheetFormatPr defaultColWidth="9" defaultRowHeight="22.5" customHeight="1" x14ac:dyDescent="0.25"/>
  <cols>
    <col min="1" max="1" width="9.77734375" style="1" customWidth="1"/>
    <col min="2" max="2" width="13.5546875" style="1" customWidth="1"/>
    <col min="3" max="3" width="20.88671875" style="48" customWidth="1"/>
    <col min="4" max="4" width="12" style="1" customWidth="1"/>
    <col min="5" max="5" width="11.77734375" style="1" customWidth="1"/>
    <col min="6" max="6" width="15.5546875" style="1" customWidth="1"/>
    <col min="7" max="7" width="12.21875" style="1" customWidth="1"/>
    <col min="8" max="8" width="12.6640625" style="49" customWidth="1"/>
    <col min="9" max="9" width="13.5546875" style="1" customWidth="1"/>
    <col min="10" max="10" width="11.6640625" style="1" hidden="1" customWidth="1"/>
    <col min="11" max="16377" width="9" style="1"/>
  </cols>
  <sheetData>
    <row r="1" spans="1:10" ht="36" customHeight="1" x14ac:dyDescent="0.3">
      <c r="A1" s="253" t="s">
        <v>387</v>
      </c>
      <c r="B1" s="253"/>
      <c r="C1" s="254"/>
      <c r="D1" s="255"/>
      <c r="E1" s="255"/>
      <c r="F1" s="255"/>
      <c r="G1" s="255"/>
      <c r="H1" s="256"/>
      <c r="I1" s="255"/>
      <c r="J1" s="257"/>
    </row>
    <row r="2" spans="1:10" ht="22.5" customHeight="1" x14ac:dyDescent="0.25">
      <c r="A2" s="209" t="s">
        <v>1</v>
      </c>
      <c r="B2" s="209" t="s">
        <v>21</v>
      </c>
      <c r="C2" s="209"/>
      <c r="D2" s="209" t="s">
        <v>22</v>
      </c>
      <c r="E2" s="209" t="s">
        <v>23</v>
      </c>
      <c r="F2" s="209"/>
      <c r="G2" s="209"/>
      <c r="H2" s="258"/>
      <c r="I2" s="209"/>
      <c r="J2" s="209" t="s">
        <v>24</v>
      </c>
    </row>
    <row r="3" spans="1:10" ht="22.5" customHeight="1" x14ac:dyDescent="0.25">
      <c r="A3" s="209"/>
      <c r="B3" s="11" t="s">
        <v>25</v>
      </c>
      <c r="C3" s="16" t="s">
        <v>26</v>
      </c>
      <c r="D3" s="209"/>
      <c r="E3" s="11" t="s">
        <v>27</v>
      </c>
      <c r="F3" s="11" t="s">
        <v>28</v>
      </c>
      <c r="G3" s="11" t="s">
        <v>29</v>
      </c>
      <c r="H3" s="51" t="s">
        <v>30</v>
      </c>
      <c r="I3" s="11" t="s">
        <v>13</v>
      </c>
      <c r="J3" s="209"/>
    </row>
    <row r="4" spans="1:10" customFormat="1" ht="22.5" customHeight="1" x14ac:dyDescent="0.25">
      <c r="A4" s="14">
        <v>1</v>
      </c>
      <c r="B4" s="14"/>
      <c r="C4" s="50" t="s">
        <v>31</v>
      </c>
      <c r="D4" s="14" t="s">
        <v>32</v>
      </c>
      <c r="E4" s="42" t="s">
        <v>33</v>
      </c>
      <c r="F4" s="38" t="str">
        <f>IF(C4="初步勘察",VLOOKUP(D4,{"Ⅰ","2200";"Ⅱ","3300";"Ⅲ","5100";"Ⅳ","7700";"Ⅴ","11100"},2,0),VLOOKUP(D4,{"Ⅰ","7100";"Ⅱ","10800";"Ⅲ","16700";"Ⅳ","25200";"Ⅴ","36400"},2,0))</f>
        <v>3300</v>
      </c>
      <c r="G4" s="38"/>
      <c r="H4" s="41">
        <v>1</v>
      </c>
      <c r="I4" s="44">
        <f>F4*G4*H4</f>
        <v>0</v>
      </c>
      <c r="J4" s="14" t="s">
        <v>34</v>
      </c>
    </row>
    <row r="5" spans="1:10" ht="22.5" customHeight="1" x14ac:dyDescent="0.25">
      <c r="A5" s="14">
        <v>2</v>
      </c>
      <c r="B5" s="37"/>
      <c r="C5" s="50" t="s">
        <v>35</v>
      </c>
      <c r="D5" s="14" t="s">
        <v>36</v>
      </c>
      <c r="E5" s="42" t="s">
        <v>33</v>
      </c>
      <c r="F5" s="38" t="str">
        <f>IF(C5="初步勘察",VLOOKUP(D5,{"Ⅰ","2200";"Ⅱ","3300";"Ⅲ","5100";"Ⅳ","7700";"Ⅴ","11100"},2,0),VLOOKUP(D5,{"Ⅰ","7100";"Ⅱ","10800";"Ⅲ","16700";"Ⅳ","25200";"Ⅴ","36400"},2,0))</f>
        <v>16700</v>
      </c>
      <c r="G5" s="38"/>
      <c r="H5" s="41">
        <v>2</v>
      </c>
      <c r="I5" s="44">
        <f>F5*G5*H5</f>
        <v>0</v>
      </c>
      <c r="J5" s="14" t="s">
        <v>34</v>
      </c>
    </row>
    <row r="6" spans="1:10" ht="22.5" customHeight="1" x14ac:dyDescent="0.25">
      <c r="A6" s="37"/>
      <c r="B6" s="37"/>
      <c r="C6" s="50"/>
      <c r="D6" s="37"/>
      <c r="E6" s="37"/>
      <c r="F6" s="52"/>
      <c r="G6" s="52"/>
      <c r="H6" s="53"/>
      <c r="I6" s="44"/>
      <c r="J6" s="37"/>
    </row>
    <row r="7" spans="1:10" ht="22.5" customHeight="1" x14ac:dyDescent="0.25">
      <c r="A7" s="37"/>
      <c r="B7" s="37"/>
      <c r="C7" s="43"/>
      <c r="D7" s="37"/>
      <c r="E7" s="37"/>
      <c r="F7" s="52"/>
      <c r="G7" s="52"/>
      <c r="H7" s="53"/>
      <c r="I7" s="54"/>
      <c r="J7" s="37"/>
    </row>
    <row r="8" spans="1:10" ht="22.5" customHeight="1" x14ac:dyDescent="0.25">
      <c r="A8" s="37"/>
      <c r="B8" s="37"/>
      <c r="C8" s="43"/>
      <c r="D8" s="37"/>
      <c r="E8" s="37"/>
      <c r="F8" s="52"/>
      <c r="G8" s="52"/>
      <c r="H8" s="53"/>
      <c r="I8" s="54"/>
      <c r="J8" s="37"/>
    </row>
    <row r="9" spans="1:10" ht="22.5" customHeight="1" x14ac:dyDescent="0.25">
      <c r="A9" s="259" t="s">
        <v>37</v>
      </c>
      <c r="B9" s="260"/>
      <c r="C9" s="260"/>
      <c r="D9" s="260"/>
      <c r="E9" s="260"/>
      <c r="F9" s="260"/>
      <c r="G9" s="260"/>
      <c r="H9" s="261"/>
      <c r="I9" s="54">
        <f>SUM(I4:I8)</f>
        <v>0</v>
      </c>
      <c r="J9" s="37"/>
    </row>
  </sheetData>
  <mergeCells count="7">
    <mergeCell ref="A1:J1"/>
    <mergeCell ref="B2:C2"/>
    <mergeCell ref="E2:I2"/>
    <mergeCell ref="A9:H9"/>
    <mergeCell ref="A2:A3"/>
    <mergeCell ref="D2:D3"/>
    <mergeCell ref="J2:J3"/>
  </mergeCells>
  <phoneticPr fontId="9" type="noConversion"/>
  <dataValidations count="3">
    <dataValidation type="list" allowBlank="1" showInputMessage="1" showErrorMessage="1" sqref="C4:C6" xr:uid="{00000000-0002-0000-0100-000000000000}">
      <formula1>"初步勘察,详细勘察"</formula1>
    </dataValidation>
    <dataValidation type="list" allowBlank="1" showInputMessage="1" showErrorMessage="1" sqref="D4:D5" xr:uid="{00000000-0002-0000-0100-000001000000}">
      <formula1>"Ⅰ,Ⅱ,Ⅲ,Ⅳ,Ⅴ"</formula1>
    </dataValidation>
    <dataValidation type="list" allowBlank="1" showInputMessage="1" showErrorMessage="1" sqref="H4:H5" xr:uid="{00000000-0002-0000-0100-000002000000}">
      <formula1>"1,1.1,1.2,1.3"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59999389629810485"/>
    <outlinePr summaryBelow="0" summaryRight="0"/>
  </sheetPr>
  <dimension ref="A1:AQ210"/>
  <sheetViews>
    <sheetView tabSelected="1" zoomScale="70" zoomScaleNormal="70" workbookViewId="0">
      <pane xSplit="7" ySplit="3" topLeftCell="H11" activePane="bottomRight" state="frozen"/>
      <selection sqref="A1:R1"/>
      <selection pane="topRight" sqref="A1:R1"/>
      <selection pane="bottomLeft" sqref="A1:R1"/>
      <selection pane="bottomRight" activeCell="H25" sqref="H25"/>
    </sheetView>
  </sheetViews>
  <sheetFormatPr defaultColWidth="9" defaultRowHeight="22.5" customHeight="1" outlineLevelRow="1" outlineLevelCol="2" x14ac:dyDescent="0.25"/>
  <cols>
    <col min="1" max="1" width="5.6640625" style="65" customWidth="1"/>
    <col min="2" max="2" width="5.44140625" style="91" customWidth="1"/>
    <col min="3" max="3" width="22" style="65" customWidth="1"/>
    <col min="4" max="4" width="5.5546875" style="65" hidden="1" customWidth="1"/>
    <col min="5" max="5" width="10.21875" style="65" customWidth="1"/>
    <col min="6" max="6" width="8.109375" style="77" customWidth="1"/>
    <col min="7" max="7" width="5.21875" style="65" customWidth="1"/>
    <col min="8" max="8" width="9.88671875" style="65" customWidth="1"/>
    <col min="9" max="9" width="9.21875" style="78" customWidth="1"/>
    <col min="10" max="10" width="12.6640625" style="65" customWidth="1"/>
    <col min="11" max="11" width="11.5546875" style="79" customWidth="1" outlineLevel="1"/>
    <col min="12" max="12" width="13.21875" style="79" customWidth="1"/>
    <col min="13" max="13" width="13.21875" style="79" customWidth="1" outlineLevel="1"/>
    <col min="14" max="14" width="10.44140625" style="79" customWidth="1"/>
    <col min="15" max="15" width="9.88671875" style="65" customWidth="1"/>
    <col min="16" max="16" width="21.21875" style="104" customWidth="1"/>
    <col min="17" max="17" width="4.88671875" style="104" customWidth="1"/>
    <col min="18" max="18" width="8.6640625" style="99" customWidth="1" collapsed="1"/>
    <col min="19" max="19" width="33.33203125" style="105" hidden="1" customWidth="1" outlineLevel="2"/>
    <col min="20" max="20" width="9.88671875" style="65" hidden="1" customWidth="1" outlineLevel="1" collapsed="1"/>
    <col min="21" max="21" width="22.33203125" style="105" hidden="1" customWidth="1" outlineLevel="2"/>
    <col min="22" max="22" width="14.109375" style="65" hidden="1" customWidth="1" outlineLevel="1" collapsed="1"/>
    <col min="23" max="23" width="18.5546875" style="105" hidden="1" customWidth="1" outlineLevel="2"/>
    <col min="24" max="24" width="13.21875" style="79" hidden="1" customWidth="1" outlineLevel="1" collapsed="1"/>
    <col min="25" max="25" width="18.5546875" style="105" hidden="1" customWidth="1" outlineLevel="2"/>
    <col min="26" max="26" width="9" style="95" hidden="1" customWidth="1" outlineLevel="1" collapsed="1"/>
    <col min="27" max="28" width="0" style="95" hidden="1" customWidth="1" outlineLevel="2"/>
    <col min="29" max="29" width="8.6640625" style="99" hidden="1" customWidth="1" outlineLevel="2"/>
    <col min="30" max="31" width="9.6640625" style="99" hidden="1" customWidth="1" outlineLevel="2"/>
    <col min="32" max="32" width="9" style="99" hidden="1" customWidth="1" outlineLevel="1" collapsed="1"/>
    <col min="33" max="33" width="5.109375" style="99" hidden="1" customWidth="1" outlineLevel="2"/>
    <col min="34" max="34" width="6.88671875" style="99" hidden="1" customWidth="1" outlineLevel="2"/>
    <col min="35" max="37" width="17.5546875" style="99" hidden="1" customWidth="1" outlineLevel="2"/>
    <col min="38" max="38" width="8.6640625" style="99" hidden="1" customWidth="1" outlineLevel="1" collapsed="1"/>
    <col min="39" max="41" width="9.6640625" style="99" hidden="1" customWidth="1" outlineLevel="2"/>
    <col min="42" max="42" width="19.6640625" style="99" hidden="1" customWidth="1" outlineLevel="2"/>
    <col min="43" max="43" width="9" style="65" hidden="1" customWidth="1" outlineLevel="1"/>
    <col min="44" max="16384" width="9" style="65"/>
  </cols>
  <sheetData>
    <row r="1" spans="1:42" ht="36" customHeight="1" x14ac:dyDescent="0.25">
      <c r="A1" s="178" t="s">
        <v>385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9"/>
      <c r="P1" s="179"/>
      <c r="Q1" s="93"/>
      <c r="T1" s="93"/>
      <c r="V1" s="105"/>
      <c r="X1" s="105"/>
    </row>
    <row r="2" spans="1:42" s="80" customFormat="1" ht="22.5" customHeight="1" x14ac:dyDescent="0.25">
      <c r="A2" s="269" t="s">
        <v>1</v>
      </c>
      <c r="B2" s="269" t="s">
        <v>21</v>
      </c>
      <c r="C2" s="269"/>
      <c r="D2" s="269"/>
      <c r="E2" s="269"/>
      <c r="F2" s="269"/>
      <c r="G2" s="269"/>
      <c r="H2" s="270" t="s">
        <v>339</v>
      </c>
      <c r="I2" s="271"/>
      <c r="J2" s="271"/>
      <c r="K2" s="272"/>
      <c r="L2" s="273" t="s">
        <v>340</v>
      </c>
      <c r="M2" s="274"/>
      <c r="N2" s="273" t="s">
        <v>40</v>
      </c>
      <c r="O2" s="269" t="s">
        <v>24</v>
      </c>
      <c r="P2" s="269" t="s">
        <v>4</v>
      </c>
      <c r="Q2" s="94"/>
      <c r="R2" s="151"/>
      <c r="S2" s="153"/>
      <c r="T2" s="109"/>
      <c r="U2" s="109"/>
      <c r="V2" s="109"/>
      <c r="W2" s="109"/>
      <c r="X2" s="109"/>
      <c r="Y2" s="109"/>
      <c r="Z2" s="131"/>
      <c r="AA2" s="131"/>
      <c r="AB2" s="131"/>
      <c r="AC2" s="137"/>
      <c r="AD2" s="137"/>
      <c r="AE2" s="137"/>
      <c r="AF2" s="129"/>
      <c r="AG2" s="137"/>
      <c r="AH2" s="137"/>
      <c r="AI2" s="137"/>
      <c r="AJ2" s="137"/>
      <c r="AK2" s="137"/>
      <c r="AL2" s="150"/>
      <c r="AM2" s="137"/>
      <c r="AN2" s="137"/>
      <c r="AO2" s="137"/>
      <c r="AP2" s="137"/>
    </row>
    <row r="3" spans="1:42" s="80" customFormat="1" ht="36" collapsed="1" x14ac:dyDescent="0.25">
      <c r="A3" s="269"/>
      <c r="B3" s="66" t="s">
        <v>2</v>
      </c>
      <c r="C3" s="66" t="s">
        <v>341</v>
      </c>
      <c r="D3" s="66" t="s">
        <v>540</v>
      </c>
      <c r="E3" s="66" t="s">
        <v>342</v>
      </c>
      <c r="F3" s="68" t="s">
        <v>343</v>
      </c>
      <c r="G3" s="66" t="s">
        <v>27</v>
      </c>
      <c r="H3" s="173" t="s">
        <v>406</v>
      </c>
      <c r="I3" s="175" t="s">
        <v>358</v>
      </c>
      <c r="J3" s="173" t="s">
        <v>470</v>
      </c>
      <c r="K3" s="67" t="s">
        <v>13</v>
      </c>
      <c r="L3" s="173" t="s">
        <v>464</v>
      </c>
      <c r="M3" s="66" t="s">
        <v>13</v>
      </c>
      <c r="N3" s="273"/>
      <c r="O3" s="269"/>
      <c r="P3" s="269"/>
      <c r="Q3" s="94">
        <v>0</v>
      </c>
      <c r="R3" s="151" t="s">
        <v>507</v>
      </c>
      <c r="S3" s="153" t="s">
        <v>506</v>
      </c>
      <c r="T3" s="109" t="s">
        <v>465</v>
      </c>
      <c r="U3" s="109" t="s">
        <v>463</v>
      </c>
      <c r="V3" s="109" t="s">
        <v>466</v>
      </c>
      <c r="W3" s="109" t="s">
        <v>472</v>
      </c>
      <c r="X3" s="109" t="s">
        <v>467</v>
      </c>
      <c r="Y3" s="109" t="s">
        <v>471</v>
      </c>
      <c r="Z3" s="127" t="s">
        <v>405</v>
      </c>
      <c r="AA3" s="131"/>
      <c r="AB3" s="131"/>
      <c r="AC3" s="137"/>
      <c r="AD3" s="137"/>
      <c r="AE3" s="137"/>
      <c r="AF3" s="129" t="s">
        <v>407</v>
      </c>
      <c r="AG3" s="137"/>
      <c r="AH3" s="137"/>
      <c r="AI3" s="137"/>
      <c r="AJ3" s="137"/>
      <c r="AK3" s="137"/>
      <c r="AL3" s="150" t="s">
        <v>500</v>
      </c>
      <c r="AM3" s="150"/>
      <c r="AN3" s="150"/>
      <c r="AO3" s="150"/>
      <c r="AP3" s="150"/>
    </row>
    <row r="4" spans="1:42" s="81" customFormat="1" ht="48" hidden="1" outlineLevel="1" x14ac:dyDescent="0.25">
      <c r="A4" s="69" t="s">
        <v>378</v>
      </c>
      <c r="B4" s="69" t="s">
        <v>369</v>
      </c>
      <c r="C4" s="69" t="s">
        <v>371</v>
      </c>
      <c r="D4" s="69" t="s">
        <v>374</v>
      </c>
      <c r="E4" s="69" t="s">
        <v>372</v>
      </c>
      <c r="F4" s="70" t="s">
        <v>373</v>
      </c>
      <c r="G4" s="69" t="s">
        <v>370</v>
      </c>
      <c r="H4" s="69" t="s">
        <v>377</v>
      </c>
      <c r="I4" s="69" t="s">
        <v>29</v>
      </c>
      <c r="J4" s="69" t="s">
        <v>375</v>
      </c>
      <c r="K4" s="69"/>
      <c r="L4" s="69" t="s">
        <v>376</v>
      </c>
      <c r="M4" s="69"/>
      <c r="N4" s="71"/>
      <c r="O4" s="69"/>
      <c r="P4" s="69"/>
      <c r="Q4" s="124"/>
      <c r="R4" s="151" t="s">
        <v>507</v>
      </c>
      <c r="S4" s="153" t="s">
        <v>506</v>
      </c>
      <c r="T4" s="126" t="s">
        <v>468</v>
      </c>
      <c r="U4" s="126" t="s">
        <v>468</v>
      </c>
      <c r="V4" s="126" t="s">
        <v>468</v>
      </c>
      <c r="W4" s="126" t="s">
        <v>468</v>
      </c>
      <c r="X4" s="126" t="s">
        <v>468</v>
      </c>
      <c r="Y4" s="126" t="s">
        <v>468</v>
      </c>
      <c r="Z4" s="127" t="s">
        <v>405</v>
      </c>
      <c r="AA4" s="127" t="s">
        <v>405</v>
      </c>
      <c r="AB4" s="127" t="s">
        <v>405</v>
      </c>
      <c r="AC4" s="138" t="s">
        <v>485</v>
      </c>
      <c r="AD4" s="138" t="s">
        <v>483</v>
      </c>
      <c r="AE4" s="138" t="s">
        <v>484</v>
      </c>
      <c r="AF4" s="129" t="s">
        <v>407</v>
      </c>
      <c r="AG4" s="129" t="s">
        <v>408</v>
      </c>
      <c r="AH4" s="129" t="s">
        <v>409</v>
      </c>
      <c r="AI4" s="129" t="s">
        <v>410</v>
      </c>
      <c r="AJ4" s="129" t="s">
        <v>411</v>
      </c>
      <c r="AK4" s="129" t="s">
        <v>412</v>
      </c>
      <c r="AL4" s="150" t="s">
        <v>501</v>
      </c>
      <c r="AM4" s="150" t="s">
        <v>502</v>
      </c>
      <c r="AN4" s="150" t="s">
        <v>502</v>
      </c>
      <c r="AO4" s="150" t="s">
        <v>503</v>
      </c>
      <c r="AP4" s="150" t="s">
        <v>504</v>
      </c>
    </row>
    <row r="5" spans="1:42" s="80" customFormat="1" ht="60" x14ac:dyDescent="0.25">
      <c r="A5" s="72">
        <v>1</v>
      </c>
      <c r="B5" s="269" t="s">
        <v>446</v>
      </c>
      <c r="C5" s="72" t="s">
        <v>344</v>
      </c>
      <c r="D5" s="72"/>
      <c r="E5" s="72" t="s">
        <v>345</v>
      </c>
      <c r="F5" s="72" t="s">
        <v>346</v>
      </c>
      <c r="G5" s="140" t="s">
        <v>47</v>
      </c>
      <c r="H5" s="72"/>
      <c r="I5" s="72">
        <v>26</v>
      </c>
      <c r="J5" s="72"/>
      <c r="K5" s="73">
        <f t="shared" ref="K5:K48" si="0">I5*J5*H5</f>
        <v>0</v>
      </c>
      <c r="L5" s="140"/>
      <c r="M5" s="73">
        <f>K5*L5</f>
        <v>0</v>
      </c>
      <c r="N5" s="74">
        <f>K5+M5</f>
        <v>0</v>
      </c>
      <c r="O5" s="267" t="s">
        <v>355</v>
      </c>
      <c r="P5" s="101" t="s">
        <v>443</v>
      </c>
      <c r="Q5" s="114"/>
      <c r="R5" s="137"/>
      <c r="S5" s="111"/>
      <c r="T5" s="116">
        <f>IF(E5="GPS测量E级",VLOOKUP(F5,{"简单","2821";"中等","3203";"复杂","4123"},2,0))+IF(E5="GPS测量D级",VLOOKUP(F5,{"简单","3198";"中等","3632";"复杂","4671"},2,0))+IF(E5="GPS测量C级",VLOOKUP(F5,{"简单","3727";"中等","4274";"复杂","5500"},2,0))</f>
        <v>4274</v>
      </c>
      <c r="U5" s="111" t="s">
        <v>445</v>
      </c>
      <c r="V5" s="116">
        <v>0.6</v>
      </c>
      <c r="W5" s="110" t="s">
        <v>456</v>
      </c>
      <c r="X5" s="117">
        <v>0.22</v>
      </c>
      <c r="Y5" s="111" t="s">
        <v>438</v>
      </c>
      <c r="Z5" s="130">
        <f t="shared" ref="Z5:Z49" si="1">H5+AC5-T5</f>
        <v>-4274</v>
      </c>
      <c r="AA5" s="130">
        <f t="shared" ref="AA5:AA49" si="2">J5+AD5-V5</f>
        <v>-0.6</v>
      </c>
      <c r="AB5" s="130">
        <f>L5+AE5-X5</f>
        <v>-0.22</v>
      </c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</row>
    <row r="6" spans="1:42" s="80" customFormat="1" ht="48" x14ac:dyDescent="0.25">
      <c r="A6" s="72">
        <v>2</v>
      </c>
      <c r="B6" s="269"/>
      <c r="C6" s="72" t="s">
        <v>510</v>
      </c>
      <c r="D6" s="72"/>
      <c r="E6" s="72" t="s">
        <v>48</v>
      </c>
      <c r="F6" s="72" t="s">
        <v>46</v>
      </c>
      <c r="G6" s="140" t="s">
        <v>47</v>
      </c>
      <c r="H6" s="72"/>
      <c r="I6" s="72">
        <v>62</v>
      </c>
      <c r="J6" s="72"/>
      <c r="K6" s="73">
        <f t="shared" si="0"/>
        <v>0</v>
      </c>
      <c r="L6" s="140"/>
      <c r="M6" s="73">
        <f>K6*L6</f>
        <v>0</v>
      </c>
      <c r="N6" s="74">
        <f>K6+M6</f>
        <v>0</v>
      </c>
      <c r="O6" s="267"/>
      <c r="P6" s="101" t="s">
        <v>443</v>
      </c>
      <c r="Q6" s="114"/>
      <c r="R6" s="137"/>
      <c r="S6" s="111"/>
      <c r="T6" s="116">
        <f>IF(E6="GPS测量E级",VLOOKUP(F6,{"简单","2821";"中等","3203";"复杂","4123"},2,0))+IF(E6="GPS测量D级",VLOOKUP(F6,{"简单","3198";"中等","3632";"复杂","4671"},2,0))+IF(E6="GPS测量C级",VLOOKUP(F6,{"简单","3727";"中等","4274";"复杂","5500"},2,0))</f>
        <v>3203</v>
      </c>
      <c r="U6" s="111"/>
      <c r="V6" s="116">
        <v>0.6</v>
      </c>
      <c r="W6" s="110" t="s">
        <v>447</v>
      </c>
      <c r="X6" s="117">
        <v>0.22</v>
      </c>
      <c r="Y6" s="110" t="s">
        <v>498</v>
      </c>
      <c r="Z6" s="130">
        <f t="shared" si="1"/>
        <v>-3203</v>
      </c>
      <c r="AA6" s="130">
        <f t="shared" si="2"/>
        <v>-0.6</v>
      </c>
      <c r="AB6" s="130">
        <f t="shared" ref="AB6:AB49" si="3">L6+AE6-X6</f>
        <v>-0.22</v>
      </c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</row>
    <row r="7" spans="1:42" s="80" customFormat="1" ht="22.5" customHeight="1" x14ac:dyDescent="0.25">
      <c r="A7" s="72">
        <v>3</v>
      </c>
      <c r="B7" s="269"/>
      <c r="C7" s="75" t="s">
        <v>49</v>
      </c>
      <c r="D7" s="72"/>
      <c r="E7" s="72" t="s">
        <v>48</v>
      </c>
      <c r="F7" s="72" t="s">
        <v>50</v>
      </c>
      <c r="G7" s="140" t="s">
        <v>51</v>
      </c>
      <c r="H7" s="72"/>
      <c r="I7" s="72"/>
      <c r="J7" s="72"/>
      <c r="K7" s="73">
        <f t="shared" si="0"/>
        <v>0</v>
      </c>
      <c r="L7" s="140"/>
      <c r="M7" s="73">
        <f t="shared" ref="M7:M15" si="4">K7*L7</f>
        <v>0</v>
      </c>
      <c r="N7" s="74">
        <f t="shared" ref="N7:N15" si="5">K7+M7</f>
        <v>0</v>
      </c>
      <c r="O7" s="268"/>
      <c r="P7" s="101"/>
      <c r="Q7" s="114"/>
      <c r="R7" s="137"/>
      <c r="S7" s="111"/>
      <c r="T7" s="116">
        <f>IF(E7="GPS测量E级",VLOOKUP(F7,{"简单","2821";"中等","3203";"复杂","4123"},2,0))+IF(E7="GPS测量D级",VLOOKUP(F7,{"简单","3198";"中等","3632";"复杂","4671"},2,0))+IF(E7="GPS测量C级",VLOOKUP(F7,{"简单","3727";"中等","4274";"复杂","5500"},2,0))</f>
        <v>4123</v>
      </c>
      <c r="U7" s="111"/>
      <c r="V7" s="116">
        <v>0.6</v>
      </c>
      <c r="W7" s="111"/>
      <c r="X7" s="117">
        <v>0.22</v>
      </c>
      <c r="Y7" s="111"/>
      <c r="Z7" s="130">
        <f t="shared" si="1"/>
        <v>-4123</v>
      </c>
      <c r="AA7" s="130">
        <f t="shared" si="2"/>
        <v>-0.6</v>
      </c>
      <c r="AB7" s="130">
        <f t="shared" si="3"/>
        <v>-0.22</v>
      </c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</row>
    <row r="8" spans="1:42" s="80" customFormat="1" ht="22.5" customHeight="1" x14ac:dyDescent="0.25">
      <c r="A8" s="72">
        <v>4</v>
      </c>
      <c r="B8" s="269"/>
      <c r="C8" s="75" t="s">
        <v>52</v>
      </c>
      <c r="D8" s="72"/>
      <c r="E8" s="72" t="s">
        <v>48</v>
      </c>
      <c r="F8" s="72" t="s">
        <v>50</v>
      </c>
      <c r="G8" s="140" t="s">
        <v>51</v>
      </c>
      <c r="H8" s="72"/>
      <c r="I8" s="72"/>
      <c r="J8" s="72"/>
      <c r="K8" s="73">
        <f t="shared" si="0"/>
        <v>0</v>
      </c>
      <c r="L8" s="140"/>
      <c r="M8" s="73">
        <f t="shared" si="4"/>
        <v>0</v>
      </c>
      <c r="N8" s="74">
        <f t="shared" si="5"/>
        <v>0</v>
      </c>
      <c r="O8" s="268"/>
      <c r="P8" s="101"/>
      <c r="Q8" s="114"/>
      <c r="R8" s="137"/>
      <c r="S8" s="111"/>
      <c r="T8" s="116">
        <f>IF(E8="GPS测量E级",VLOOKUP(F8,{"简单","2821";"中等","3203";"复杂","4123"},2,0))+IF(E8="GPS测量D级",VLOOKUP(F8,{"简单","3198";"中等","3632";"复杂","4671"},2,0))+IF(E8="GPS测量C级",VLOOKUP(F8,{"简单","3727";"中等","4274";"复杂","5500"},2,0))</f>
        <v>4123</v>
      </c>
      <c r="U8" s="111"/>
      <c r="V8" s="116">
        <v>0.6</v>
      </c>
      <c r="W8" s="111"/>
      <c r="X8" s="117">
        <v>0.22</v>
      </c>
      <c r="Y8" s="111"/>
      <c r="Z8" s="130">
        <f t="shared" si="1"/>
        <v>-4123</v>
      </c>
      <c r="AA8" s="130">
        <f t="shared" si="2"/>
        <v>-0.6</v>
      </c>
      <c r="AB8" s="130">
        <f t="shared" si="3"/>
        <v>-0.22</v>
      </c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</row>
    <row r="9" spans="1:42" s="80" customFormat="1" ht="22.5" customHeight="1" x14ac:dyDescent="0.25">
      <c r="A9" s="72">
        <v>5</v>
      </c>
      <c r="B9" s="269"/>
      <c r="C9" s="72" t="s">
        <v>53</v>
      </c>
      <c r="D9" s="72"/>
      <c r="E9" s="72" t="s">
        <v>48</v>
      </c>
      <c r="F9" s="72" t="s">
        <v>50</v>
      </c>
      <c r="G9" s="140" t="s">
        <v>51</v>
      </c>
      <c r="H9" s="72"/>
      <c r="I9" s="72"/>
      <c r="J9" s="72"/>
      <c r="K9" s="73">
        <f t="shared" si="0"/>
        <v>0</v>
      </c>
      <c r="L9" s="140"/>
      <c r="M9" s="73">
        <f t="shared" si="4"/>
        <v>0</v>
      </c>
      <c r="N9" s="74">
        <f t="shared" si="5"/>
        <v>0</v>
      </c>
      <c r="O9" s="268"/>
      <c r="P9" s="101"/>
      <c r="Q9" s="114"/>
      <c r="R9" s="137"/>
      <c r="S9" s="111"/>
      <c r="T9" s="116">
        <f>IF(E9="GPS测量E级",VLOOKUP(F9,{"简单","2821";"中等","3203";"复杂","4123"},2,0))+IF(E9="GPS测量D级",VLOOKUP(F9,{"简单","3198";"中等","3632";"复杂","4671"},2,0))+IF(E9="GPS测量C级",VLOOKUP(F9,{"简单","3727";"中等","4274";"复杂","5500"},2,0))</f>
        <v>4123</v>
      </c>
      <c r="U9" s="111"/>
      <c r="V9" s="116">
        <v>0.6</v>
      </c>
      <c r="W9" s="111"/>
      <c r="X9" s="117">
        <v>0.22</v>
      </c>
      <c r="Y9" s="111"/>
      <c r="Z9" s="130">
        <f t="shared" si="1"/>
        <v>-4123</v>
      </c>
      <c r="AA9" s="130">
        <f t="shared" si="2"/>
        <v>-0.6</v>
      </c>
      <c r="AB9" s="130">
        <f t="shared" si="3"/>
        <v>-0.22</v>
      </c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</row>
    <row r="10" spans="1:42" s="80" customFormat="1" ht="22.5" customHeight="1" x14ac:dyDescent="0.25">
      <c r="A10" s="72">
        <v>6</v>
      </c>
      <c r="B10" s="269"/>
      <c r="C10" s="72" t="s">
        <v>54</v>
      </c>
      <c r="D10" s="72"/>
      <c r="E10" s="72" t="s">
        <v>48</v>
      </c>
      <c r="F10" s="72" t="s">
        <v>50</v>
      </c>
      <c r="G10" s="140" t="s">
        <v>51</v>
      </c>
      <c r="H10" s="72"/>
      <c r="I10" s="72"/>
      <c r="J10" s="72"/>
      <c r="K10" s="73">
        <f t="shared" si="0"/>
        <v>0</v>
      </c>
      <c r="L10" s="140"/>
      <c r="M10" s="73">
        <f t="shared" si="4"/>
        <v>0</v>
      </c>
      <c r="N10" s="74">
        <f t="shared" si="5"/>
        <v>0</v>
      </c>
      <c r="O10" s="268"/>
      <c r="P10" s="101"/>
      <c r="Q10" s="114"/>
      <c r="R10" s="137"/>
      <c r="S10" s="111"/>
      <c r="T10" s="116">
        <f>IF(E10="GPS测量E级",VLOOKUP(F10,{"简单","2821";"中等","3203";"复杂","4123"},2,0))+IF(E10="GPS测量D级",VLOOKUP(F10,{"简单","3198";"中等","3632";"复杂","4671"},2,0))+IF(E10="GPS测量C级",VLOOKUP(F10,{"简单","3727";"中等","4274";"复杂","5500"},2,0))</f>
        <v>4123</v>
      </c>
      <c r="U10" s="111"/>
      <c r="V10" s="116">
        <v>0.6</v>
      </c>
      <c r="W10" s="111"/>
      <c r="X10" s="117">
        <v>0.22</v>
      </c>
      <c r="Y10" s="111"/>
      <c r="Z10" s="130">
        <f t="shared" si="1"/>
        <v>-4123</v>
      </c>
      <c r="AA10" s="130">
        <f t="shared" si="2"/>
        <v>-0.6</v>
      </c>
      <c r="AB10" s="130">
        <f t="shared" si="3"/>
        <v>-0.22</v>
      </c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</row>
    <row r="11" spans="1:42" s="80" customFormat="1" ht="22.5" customHeight="1" x14ac:dyDescent="0.25">
      <c r="A11" s="72">
        <v>7</v>
      </c>
      <c r="B11" s="269"/>
      <c r="C11" s="72" t="s">
        <v>55</v>
      </c>
      <c r="D11" s="72"/>
      <c r="E11" s="72" t="s">
        <v>48</v>
      </c>
      <c r="F11" s="72" t="s">
        <v>46</v>
      </c>
      <c r="G11" s="140" t="s">
        <v>51</v>
      </c>
      <c r="H11" s="72"/>
      <c r="I11" s="72"/>
      <c r="J11" s="72"/>
      <c r="K11" s="73">
        <f t="shared" si="0"/>
        <v>0</v>
      </c>
      <c r="L11" s="140"/>
      <c r="M11" s="73">
        <f t="shared" si="4"/>
        <v>0</v>
      </c>
      <c r="N11" s="74">
        <f t="shared" si="5"/>
        <v>0</v>
      </c>
      <c r="O11" s="268"/>
      <c r="P11" s="101"/>
      <c r="Q11" s="114"/>
      <c r="R11" s="137"/>
      <c r="S11" s="111"/>
      <c r="T11" s="116">
        <f>IF(E11="GPS测量E级",VLOOKUP(F11,{"简单","2821";"中等","3203";"复杂","4123"},2,0))+IF(E11="GPS测量D级",VLOOKUP(F11,{"简单","3198";"中等","3632";"复杂","4671"},2,0))+IF(E11="GPS测量C级",VLOOKUP(F11,{"简单","3727";"中等","4274";"复杂","5500"},2,0))</f>
        <v>3203</v>
      </c>
      <c r="U11" s="111"/>
      <c r="V11" s="116">
        <v>0.6</v>
      </c>
      <c r="W11" s="111"/>
      <c r="X11" s="117">
        <v>0.22</v>
      </c>
      <c r="Y11" s="111"/>
      <c r="Z11" s="130">
        <f t="shared" si="1"/>
        <v>-3203</v>
      </c>
      <c r="AA11" s="130">
        <f t="shared" si="2"/>
        <v>-0.6</v>
      </c>
      <c r="AB11" s="130">
        <f t="shared" si="3"/>
        <v>-0.22</v>
      </c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</row>
    <row r="12" spans="1:42" s="80" customFormat="1" ht="48" x14ac:dyDescent="0.25">
      <c r="A12" s="72">
        <v>8</v>
      </c>
      <c r="B12" s="269"/>
      <c r="C12" s="72" t="s">
        <v>56</v>
      </c>
      <c r="D12" s="72"/>
      <c r="E12" s="72" t="s">
        <v>57</v>
      </c>
      <c r="F12" s="72" t="s">
        <v>46</v>
      </c>
      <c r="G12" s="140" t="s">
        <v>51</v>
      </c>
      <c r="H12" s="72"/>
      <c r="I12" s="72"/>
      <c r="J12" s="72"/>
      <c r="K12" s="73">
        <f t="shared" si="0"/>
        <v>0</v>
      </c>
      <c r="L12" s="140"/>
      <c r="M12" s="73">
        <f t="shared" si="4"/>
        <v>0</v>
      </c>
      <c r="N12" s="74">
        <f t="shared" si="5"/>
        <v>0</v>
      </c>
      <c r="O12" s="268"/>
      <c r="P12" s="101"/>
      <c r="Q12" s="114"/>
      <c r="R12" s="137"/>
      <c r="S12" s="111"/>
      <c r="T12" s="116">
        <f>IF(E12="GPS测量E级",VLOOKUP(F12,{"简单","2821";"中等","3203";"复杂","4123"},2,0))+IF(E12="GPS测量D级",VLOOKUP(F12,{"简单","3198";"中等","3632";"复杂","4671"},2,0))+IF(E12="GPS测量C级",VLOOKUP(F12,{"简单","3727";"中等","4274";"复杂","5500"},2,0))+IF(E12="三角（边）一级",VLOOKUP(F12,{"简单","1096";"中等","1244";"复杂","1602"},2,0))</f>
        <v>1244</v>
      </c>
      <c r="U12" s="111"/>
      <c r="V12" s="116">
        <v>0.6</v>
      </c>
      <c r="W12" s="111" t="s">
        <v>480</v>
      </c>
      <c r="X12" s="117">
        <v>0.22</v>
      </c>
      <c r="Y12" s="111"/>
      <c r="Z12" s="130">
        <f t="shared" si="1"/>
        <v>-1244</v>
      </c>
      <c r="AA12" s="130">
        <f t="shared" si="2"/>
        <v>-0.6</v>
      </c>
      <c r="AB12" s="130">
        <f t="shared" si="3"/>
        <v>-0.22</v>
      </c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</row>
    <row r="13" spans="1:42" s="80" customFormat="1" ht="48" x14ac:dyDescent="0.25">
      <c r="A13" s="72">
        <v>9</v>
      </c>
      <c r="B13" s="269"/>
      <c r="C13" s="72" t="s">
        <v>58</v>
      </c>
      <c r="D13" s="72"/>
      <c r="E13" s="72" t="s">
        <v>57</v>
      </c>
      <c r="F13" s="72" t="s">
        <v>50</v>
      </c>
      <c r="G13" s="140" t="s">
        <v>51</v>
      </c>
      <c r="H13" s="72"/>
      <c r="I13" s="72"/>
      <c r="J13" s="72"/>
      <c r="K13" s="73">
        <f t="shared" si="0"/>
        <v>0</v>
      </c>
      <c r="L13" s="140"/>
      <c r="M13" s="73">
        <f t="shared" si="4"/>
        <v>0</v>
      </c>
      <c r="N13" s="74">
        <f t="shared" si="5"/>
        <v>0</v>
      </c>
      <c r="O13" s="268"/>
      <c r="P13" s="101"/>
      <c r="Q13" s="114"/>
      <c r="R13" s="137"/>
      <c r="S13" s="111"/>
      <c r="T13" s="116">
        <f>IF(E13="GPS测量E级",VLOOKUP(F13,{"简单","2821";"中等","3203";"复杂","4123"},2,0))+IF(E13="GPS测量D级",VLOOKUP(F13,{"简单","3198";"中等","3632";"复杂","4671"},2,0))+IF(E13="GPS测量C级",VLOOKUP(F13,{"简单","3727";"中等","4274";"复杂","5500"},2,0))+IF(E13="三角（边）一级",VLOOKUP(F13,{"简单","1096";"中等","1244";"复杂","1602"},2,0))</f>
        <v>1602</v>
      </c>
      <c r="U13" s="111"/>
      <c r="V13" s="116">
        <v>0.6</v>
      </c>
      <c r="W13" s="111" t="s">
        <v>480</v>
      </c>
      <c r="X13" s="117">
        <v>0.22</v>
      </c>
      <c r="Y13" s="111"/>
      <c r="Z13" s="130">
        <f t="shared" si="1"/>
        <v>-1602</v>
      </c>
      <c r="AA13" s="130">
        <f t="shared" si="2"/>
        <v>-0.6</v>
      </c>
      <c r="AB13" s="130">
        <f t="shared" si="3"/>
        <v>-0.22</v>
      </c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</row>
    <row r="14" spans="1:42" s="80" customFormat="1" ht="22.5" customHeight="1" x14ac:dyDescent="0.25">
      <c r="A14" s="72">
        <v>10</v>
      </c>
      <c r="B14" s="269"/>
      <c r="C14" s="72" t="s">
        <v>59</v>
      </c>
      <c r="D14" s="72"/>
      <c r="E14" s="72" t="s">
        <v>48</v>
      </c>
      <c r="F14" s="72" t="s">
        <v>50</v>
      </c>
      <c r="G14" s="140" t="s">
        <v>51</v>
      </c>
      <c r="H14" s="72"/>
      <c r="I14" s="72"/>
      <c r="J14" s="72"/>
      <c r="K14" s="73">
        <f t="shared" si="0"/>
        <v>0</v>
      </c>
      <c r="L14" s="140"/>
      <c r="M14" s="73">
        <f t="shared" si="4"/>
        <v>0</v>
      </c>
      <c r="N14" s="74">
        <f t="shared" si="5"/>
        <v>0</v>
      </c>
      <c r="O14" s="268"/>
      <c r="P14" s="101"/>
      <c r="Q14" s="114"/>
      <c r="R14" s="137"/>
      <c r="S14" s="111"/>
      <c r="T14" s="116">
        <f>IF(E14="GPS测量E级",VLOOKUP(F14,{"简单","2821";"中等","3203";"复杂","4123"},2,0))+IF(E14="GPS测量D级",VLOOKUP(F14,{"简单","3198";"中等","3632";"复杂","4671"},2,0))+IF(E14="GPS测量C级",VLOOKUP(F14,{"简单","3727";"中等","4274";"复杂","5500"},2,0))</f>
        <v>4123</v>
      </c>
      <c r="U14" s="111"/>
      <c r="V14" s="116">
        <v>0.6</v>
      </c>
      <c r="W14" s="111"/>
      <c r="X14" s="117">
        <v>0.22</v>
      </c>
      <c r="Y14" s="111"/>
      <c r="Z14" s="130">
        <f t="shared" si="1"/>
        <v>-4123</v>
      </c>
      <c r="AA14" s="130">
        <f t="shared" si="2"/>
        <v>-0.6</v>
      </c>
      <c r="AB14" s="130">
        <f t="shared" si="3"/>
        <v>-0.22</v>
      </c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</row>
    <row r="15" spans="1:42" s="80" customFormat="1" ht="22.5" customHeight="1" x14ac:dyDescent="0.25">
      <c r="A15" s="72">
        <v>11</v>
      </c>
      <c r="B15" s="269"/>
      <c r="C15" s="72" t="s">
        <v>60</v>
      </c>
      <c r="D15" s="72"/>
      <c r="E15" s="72" t="s">
        <v>48</v>
      </c>
      <c r="F15" s="72" t="s">
        <v>50</v>
      </c>
      <c r="G15" s="140" t="s">
        <v>51</v>
      </c>
      <c r="H15" s="72"/>
      <c r="I15" s="72"/>
      <c r="J15" s="72"/>
      <c r="K15" s="73">
        <f t="shared" si="0"/>
        <v>0</v>
      </c>
      <c r="L15" s="140"/>
      <c r="M15" s="73">
        <f t="shared" si="4"/>
        <v>0</v>
      </c>
      <c r="N15" s="74">
        <f t="shared" si="5"/>
        <v>0</v>
      </c>
      <c r="O15" s="268"/>
      <c r="P15" s="101"/>
      <c r="Q15" s="114"/>
      <c r="R15" s="137"/>
      <c r="S15" s="111"/>
      <c r="T15" s="116">
        <f>IF(E15="GPS测量E级",VLOOKUP(F15,{"简单","2821";"中等","3203";"复杂","4123"},2,0))+IF(E15="GPS测量D级",VLOOKUP(F15,{"简单","3198";"中等","3632";"复杂","4671"},2,0))+IF(E15="GPS测量C级",VLOOKUP(F15,{"简单","3727";"中等","4274";"复杂","5500"},2,0))</f>
        <v>4123</v>
      </c>
      <c r="U15" s="111"/>
      <c r="V15" s="116">
        <v>0.6</v>
      </c>
      <c r="W15" s="111"/>
      <c r="X15" s="117">
        <v>0.22</v>
      </c>
      <c r="Y15" s="111"/>
      <c r="Z15" s="130">
        <f t="shared" si="1"/>
        <v>-4123</v>
      </c>
      <c r="AA15" s="130">
        <f t="shared" si="2"/>
        <v>-0.6</v>
      </c>
      <c r="AB15" s="130">
        <f t="shared" si="3"/>
        <v>-0.22</v>
      </c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</row>
    <row r="16" spans="1:42" s="80" customFormat="1" ht="36" x14ac:dyDescent="0.25">
      <c r="A16" s="72">
        <v>12</v>
      </c>
      <c r="B16" s="269" t="s">
        <v>440</v>
      </c>
      <c r="C16" s="72" t="s">
        <v>61</v>
      </c>
      <c r="D16" s="72"/>
      <c r="E16" s="72"/>
      <c r="F16" s="141" t="s">
        <v>62</v>
      </c>
      <c r="G16" s="140" t="s">
        <v>33</v>
      </c>
      <c r="H16" s="72"/>
      <c r="I16" s="72"/>
      <c r="J16" s="72"/>
      <c r="K16" s="73">
        <f t="shared" si="0"/>
        <v>0</v>
      </c>
      <c r="L16" s="140"/>
      <c r="M16" s="73" t="s">
        <v>63</v>
      </c>
      <c r="N16" s="74">
        <f>K16</f>
        <v>0</v>
      </c>
      <c r="O16" s="267" t="s">
        <v>414</v>
      </c>
      <c r="P16" s="101" t="s">
        <v>64</v>
      </c>
      <c r="Q16" s="114"/>
      <c r="R16" s="137"/>
      <c r="S16" s="111"/>
      <c r="T16" s="116">
        <v>4000</v>
      </c>
      <c r="U16" s="112" t="s">
        <v>481</v>
      </c>
      <c r="V16" s="116">
        <v>1</v>
      </c>
      <c r="W16" s="112"/>
      <c r="X16" s="117">
        <v>0</v>
      </c>
      <c r="Y16" s="112" t="s">
        <v>496</v>
      </c>
      <c r="Z16" s="130">
        <f t="shared" si="1"/>
        <v>-4000</v>
      </c>
      <c r="AA16" s="130">
        <f t="shared" si="2"/>
        <v>-1</v>
      </c>
      <c r="AB16" s="130">
        <f t="shared" si="3"/>
        <v>0</v>
      </c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</row>
    <row r="17" spans="1:42" s="80" customFormat="1" ht="48" x14ac:dyDescent="0.25">
      <c r="A17" s="72">
        <v>13</v>
      </c>
      <c r="B17" s="269"/>
      <c r="C17" s="72" t="s">
        <v>451</v>
      </c>
      <c r="D17" s="72"/>
      <c r="E17" s="72" t="s">
        <v>65</v>
      </c>
      <c r="F17" s="141" t="s">
        <v>62</v>
      </c>
      <c r="G17" s="140" t="s">
        <v>66</v>
      </c>
      <c r="H17" s="72"/>
      <c r="I17" s="72"/>
      <c r="J17" s="72"/>
      <c r="K17" s="73">
        <f t="shared" si="0"/>
        <v>0</v>
      </c>
      <c r="L17" s="140"/>
      <c r="M17" s="73" t="s">
        <v>63</v>
      </c>
      <c r="N17" s="74">
        <f t="shared" ref="N17:N22" si="6">K17</f>
        <v>0</v>
      </c>
      <c r="O17" s="267"/>
      <c r="P17" s="101" t="s">
        <v>67</v>
      </c>
      <c r="Q17" s="114"/>
      <c r="R17" s="137"/>
      <c r="S17" s="111"/>
      <c r="T17" s="116" t="str">
        <f>VLOOKUP(E17,{"Ⅰ类","2720.45";"Ⅱ类","3874.53";"Ⅲ类","4991.14"},2,0)</f>
        <v>4991.14</v>
      </c>
      <c r="U17" s="112" t="s">
        <v>452</v>
      </c>
      <c r="V17" s="116">
        <v>0.85</v>
      </c>
      <c r="W17" s="112" t="s">
        <v>450</v>
      </c>
      <c r="X17" s="117">
        <v>0</v>
      </c>
      <c r="Y17" s="111" t="s">
        <v>449</v>
      </c>
      <c r="Z17" s="130">
        <f t="shared" si="1"/>
        <v>-4991.1400000000003</v>
      </c>
      <c r="AA17" s="130">
        <f t="shared" si="2"/>
        <v>-0.85</v>
      </c>
      <c r="AB17" s="130">
        <f t="shared" si="3"/>
        <v>0</v>
      </c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</row>
    <row r="18" spans="1:42" s="80" customFormat="1" ht="24" x14ac:dyDescent="0.25">
      <c r="A18" s="72">
        <v>14</v>
      </c>
      <c r="B18" s="269"/>
      <c r="C18" s="72" t="s">
        <v>453</v>
      </c>
      <c r="D18" s="72"/>
      <c r="E18" s="72" t="s">
        <v>68</v>
      </c>
      <c r="F18" s="141" t="s">
        <v>62</v>
      </c>
      <c r="G18" s="140" t="s">
        <v>66</v>
      </c>
      <c r="H18" s="72"/>
      <c r="I18" s="72"/>
      <c r="J18" s="72"/>
      <c r="K18" s="73">
        <f t="shared" si="0"/>
        <v>0</v>
      </c>
      <c r="L18" s="140"/>
      <c r="M18" s="73" t="s">
        <v>63</v>
      </c>
      <c r="N18" s="74">
        <f t="shared" si="6"/>
        <v>0</v>
      </c>
      <c r="O18" s="267"/>
      <c r="P18" s="101" t="s">
        <v>448</v>
      </c>
      <c r="Q18" s="114"/>
      <c r="R18" s="137"/>
      <c r="S18" s="111"/>
      <c r="T18" s="116" t="str">
        <f>VLOOKUP(E18,{"Ⅰ类","2923.06";"Ⅱ类","5546.41";"Ⅲ类","7840.47"},2,0)</f>
        <v>5546.41</v>
      </c>
      <c r="U18" s="112" t="s">
        <v>454</v>
      </c>
      <c r="V18" s="116">
        <v>0.7</v>
      </c>
      <c r="W18" s="111" t="s">
        <v>457</v>
      </c>
      <c r="X18" s="117">
        <v>0</v>
      </c>
      <c r="Y18" s="111"/>
      <c r="Z18" s="130">
        <f t="shared" si="1"/>
        <v>-5546.41</v>
      </c>
      <c r="AA18" s="130">
        <f t="shared" si="2"/>
        <v>-0.7</v>
      </c>
      <c r="AB18" s="130">
        <f t="shared" si="3"/>
        <v>0</v>
      </c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</row>
    <row r="19" spans="1:42" s="80" customFormat="1" ht="24" x14ac:dyDescent="0.25">
      <c r="A19" s="72">
        <v>15</v>
      </c>
      <c r="B19" s="269"/>
      <c r="C19" s="72" t="s">
        <v>69</v>
      </c>
      <c r="D19" s="72"/>
      <c r="E19" s="72" t="s">
        <v>68</v>
      </c>
      <c r="F19" s="141" t="s">
        <v>62</v>
      </c>
      <c r="G19" s="140" t="s">
        <v>66</v>
      </c>
      <c r="H19" s="72"/>
      <c r="I19" s="72"/>
      <c r="J19" s="72"/>
      <c r="K19" s="73">
        <f t="shared" si="0"/>
        <v>0</v>
      </c>
      <c r="L19" s="140"/>
      <c r="M19" s="73" t="s">
        <v>63</v>
      </c>
      <c r="N19" s="74">
        <f t="shared" si="6"/>
        <v>0</v>
      </c>
      <c r="O19" s="267"/>
      <c r="P19" s="101" t="s">
        <v>70</v>
      </c>
      <c r="Q19" s="114"/>
      <c r="R19" s="137"/>
      <c r="S19" s="111"/>
      <c r="T19" s="116" t="str">
        <f>VLOOKUP(E19,{"Ⅰ类","6487.94";"Ⅱ类","9039.5";"Ⅲ类","12750.88"},2,0)</f>
        <v>9039.5</v>
      </c>
      <c r="U19" s="111"/>
      <c r="V19" s="116">
        <v>1.35</v>
      </c>
      <c r="W19" s="111" t="s">
        <v>458</v>
      </c>
      <c r="X19" s="117">
        <v>0</v>
      </c>
      <c r="Y19" s="112"/>
      <c r="Z19" s="130">
        <f t="shared" si="1"/>
        <v>-9039.5</v>
      </c>
      <c r="AA19" s="130">
        <f t="shared" si="2"/>
        <v>-1.35</v>
      </c>
      <c r="AB19" s="130">
        <f t="shared" si="3"/>
        <v>0</v>
      </c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</row>
    <row r="20" spans="1:42" s="80" customFormat="1" ht="22.5" customHeight="1" x14ac:dyDescent="0.25">
      <c r="A20" s="72">
        <v>16</v>
      </c>
      <c r="B20" s="269"/>
      <c r="C20" s="72" t="s">
        <v>71</v>
      </c>
      <c r="D20" s="72"/>
      <c r="E20" s="72" t="s">
        <v>68</v>
      </c>
      <c r="F20" s="141" t="s">
        <v>62</v>
      </c>
      <c r="G20" s="140" t="s">
        <v>66</v>
      </c>
      <c r="H20" s="72"/>
      <c r="I20" s="72"/>
      <c r="J20" s="72"/>
      <c r="K20" s="73">
        <f t="shared" si="0"/>
        <v>0</v>
      </c>
      <c r="L20" s="140"/>
      <c r="M20" s="73" t="s">
        <v>63</v>
      </c>
      <c r="N20" s="74">
        <f t="shared" si="6"/>
        <v>0</v>
      </c>
      <c r="O20" s="267"/>
      <c r="P20" s="101"/>
      <c r="Q20" s="114"/>
      <c r="R20" s="137"/>
      <c r="S20" s="111"/>
      <c r="T20" s="116" t="str">
        <f>VLOOKUP(E20,{"Ⅰ类","1570.81";"Ⅱ类","2290.69";"Ⅲ类","3010.6"},2,0)</f>
        <v>2290.69</v>
      </c>
      <c r="U20" s="111"/>
      <c r="V20" s="116">
        <v>1</v>
      </c>
      <c r="W20" s="111"/>
      <c r="X20" s="117">
        <v>0</v>
      </c>
      <c r="Y20" s="118"/>
      <c r="Z20" s="130">
        <f t="shared" si="1"/>
        <v>-2290.69</v>
      </c>
      <c r="AA20" s="130">
        <f t="shared" si="2"/>
        <v>-1</v>
      </c>
      <c r="AB20" s="130">
        <f t="shared" si="3"/>
        <v>0</v>
      </c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</row>
    <row r="21" spans="1:42" s="80" customFormat="1" ht="22.5" customHeight="1" x14ac:dyDescent="0.25">
      <c r="A21" s="72">
        <v>17</v>
      </c>
      <c r="B21" s="269"/>
      <c r="C21" s="72" t="s">
        <v>72</v>
      </c>
      <c r="D21" s="72"/>
      <c r="E21" s="72" t="s">
        <v>68</v>
      </c>
      <c r="F21" s="141" t="s">
        <v>62</v>
      </c>
      <c r="G21" s="140" t="s">
        <v>66</v>
      </c>
      <c r="H21" s="72"/>
      <c r="I21" s="72"/>
      <c r="J21" s="72"/>
      <c r="K21" s="73">
        <f t="shared" si="0"/>
        <v>0</v>
      </c>
      <c r="L21" s="140"/>
      <c r="M21" s="73" t="s">
        <v>63</v>
      </c>
      <c r="N21" s="74">
        <f t="shared" si="6"/>
        <v>0</v>
      </c>
      <c r="O21" s="267"/>
      <c r="P21" s="101"/>
      <c r="Q21" s="114"/>
      <c r="R21" s="137"/>
      <c r="S21" s="111"/>
      <c r="T21" s="116" t="str">
        <f>VLOOKUP(E21,{"Ⅰ类","1437.18";"Ⅱ类","1727.65";"Ⅲ类","2018.11"},2,0)</f>
        <v>1727.65</v>
      </c>
      <c r="U21" s="111"/>
      <c r="V21" s="116">
        <v>1</v>
      </c>
      <c r="W21" s="111"/>
      <c r="X21" s="117">
        <v>0</v>
      </c>
      <c r="Y21" s="111"/>
      <c r="Z21" s="130">
        <f t="shared" si="1"/>
        <v>-1727.65</v>
      </c>
      <c r="AA21" s="130">
        <f t="shared" si="2"/>
        <v>-1</v>
      </c>
      <c r="AB21" s="130">
        <f t="shared" si="3"/>
        <v>0</v>
      </c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</row>
    <row r="22" spans="1:42" s="80" customFormat="1" ht="43.05" customHeight="1" x14ac:dyDescent="0.25">
      <c r="A22" s="72">
        <v>18</v>
      </c>
      <c r="B22" s="66" t="s">
        <v>441</v>
      </c>
      <c r="C22" s="72" t="s">
        <v>347</v>
      </c>
      <c r="D22" s="72"/>
      <c r="E22" s="72" t="s">
        <v>68</v>
      </c>
      <c r="F22" s="141" t="s">
        <v>73</v>
      </c>
      <c r="G22" s="140" t="s">
        <v>66</v>
      </c>
      <c r="H22" s="72"/>
      <c r="I22" s="72">
        <v>2</v>
      </c>
      <c r="J22" s="72"/>
      <c r="K22" s="73">
        <f t="shared" si="0"/>
        <v>0</v>
      </c>
      <c r="L22" s="140"/>
      <c r="M22" s="73" t="s">
        <v>63</v>
      </c>
      <c r="N22" s="74">
        <f t="shared" si="6"/>
        <v>0</v>
      </c>
      <c r="O22" s="82" t="s">
        <v>413</v>
      </c>
      <c r="P22" s="101"/>
      <c r="Q22" s="114"/>
      <c r="R22" s="137"/>
      <c r="S22" s="111"/>
      <c r="T22" s="116" t="str">
        <f>IF(F22="1:50000",VLOOKUP(E22,{"Ⅰ类","3645.35";"Ⅱ类","4983.36";"Ⅲ类","7533.19"},2,0),VLOOKUP(E22,{"Ⅰ类","1991.38";"Ⅱ类","2742.11";"Ⅲ类","3517.45"},2,0))</f>
        <v>4983.36</v>
      </c>
      <c r="U22" s="112" t="s">
        <v>455</v>
      </c>
      <c r="V22" s="116">
        <v>1</v>
      </c>
      <c r="W22" s="111"/>
      <c r="X22" s="117">
        <v>0</v>
      </c>
      <c r="Y22" s="112" t="s">
        <v>497</v>
      </c>
      <c r="Z22" s="130">
        <f t="shared" si="1"/>
        <v>-4983.3599999999997</v>
      </c>
      <c r="AA22" s="130">
        <f t="shared" si="2"/>
        <v>-1</v>
      </c>
      <c r="AB22" s="130">
        <f t="shared" si="3"/>
        <v>0</v>
      </c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</row>
    <row r="23" spans="1:42" s="80" customFormat="1" ht="22.5" customHeight="1" x14ac:dyDescent="0.25">
      <c r="A23" s="72">
        <v>19</v>
      </c>
      <c r="B23" s="269" t="s">
        <v>356</v>
      </c>
      <c r="C23" s="72" t="s">
        <v>74</v>
      </c>
      <c r="D23" s="72"/>
      <c r="E23" s="72" t="s">
        <v>46</v>
      </c>
      <c r="F23" s="141" t="s">
        <v>62</v>
      </c>
      <c r="G23" s="140" t="s">
        <v>393</v>
      </c>
      <c r="H23" s="72"/>
      <c r="I23" s="76"/>
      <c r="J23" s="72"/>
      <c r="K23" s="73">
        <f t="shared" si="0"/>
        <v>0</v>
      </c>
      <c r="L23" s="140"/>
      <c r="M23" s="73">
        <f t="shared" ref="M23:M26" si="7">K23*L23</f>
        <v>0</v>
      </c>
      <c r="N23" s="74">
        <f t="shared" ref="N23:N26" si="8">K23+M23</f>
        <v>0</v>
      </c>
      <c r="O23" s="267" t="s">
        <v>355</v>
      </c>
      <c r="P23" s="101" t="s">
        <v>460</v>
      </c>
      <c r="Q23" s="114"/>
      <c r="R23" s="137"/>
      <c r="S23" s="111"/>
      <c r="T23" s="116" t="str">
        <f>VLOOKUP(E23,{"简单","6676";"中等","8901";"复杂","14244"},2,0)</f>
        <v>8901</v>
      </c>
      <c r="U23" s="113" t="s">
        <v>459</v>
      </c>
      <c r="V23" s="116">
        <v>1.8</v>
      </c>
      <c r="W23" s="112"/>
      <c r="X23" s="117">
        <v>0.22</v>
      </c>
      <c r="Y23" s="111"/>
      <c r="Z23" s="130">
        <f t="shared" si="1"/>
        <v>-8901</v>
      </c>
      <c r="AA23" s="130">
        <f t="shared" si="2"/>
        <v>-1.8</v>
      </c>
      <c r="AB23" s="130">
        <f t="shared" si="3"/>
        <v>-0.22</v>
      </c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</row>
    <row r="24" spans="1:42" s="80" customFormat="1" ht="22.8" customHeight="1" x14ac:dyDescent="0.25">
      <c r="A24" s="72">
        <v>20</v>
      </c>
      <c r="B24" s="269"/>
      <c r="C24" s="72" t="s">
        <v>74</v>
      </c>
      <c r="D24" s="72"/>
      <c r="E24" s="72" t="s">
        <v>50</v>
      </c>
      <c r="F24" s="141" t="s">
        <v>62</v>
      </c>
      <c r="G24" s="140" t="s">
        <v>393</v>
      </c>
      <c r="H24" s="72"/>
      <c r="I24" s="72">
        <v>2.7040000000000002</v>
      </c>
      <c r="J24" s="72"/>
      <c r="K24" s="73">
        <f t="shared" si="0"/>
        <v>0</v>
      </c>
      <c r="L24" s="140"/>
      <c r="M24" s="73">
        <f t="shared" si="7"/>
        <v>0</v>
      </c>
      <c r="N24" s="74">
        <f t="shared" si="8"/>
        <v>0</v>
      </c>
      <c r="O24" s="267"/>
      <c r="P24" s="101" t="s">
        <v>425</v>
      </c>
      <c r="Q24" s="114"/>
      <c r="R24" s="137"/>
      <c r="S24" s="111"/>
      <c r="T24" s="116" t="str">
        <f>VLOOKUP(E24,{"简单","6676";"中等","8901";"复杂","14244"},2,0)</f>
        <v>14244</v>
      </c>
      <c r="U24" s="111"/>
      <c r="V24" s="116">
        <v>1.8</v>
      </c>
      <c r="W24" s="112" t="s">
        <v>444</v>
      </c>
      <c r="X24" s="117">
        <v>0.22</v>
      </c>
      <c r="Y24" s="111"/>
      <c r="Z24" s="130">
        <f t="shared" si="1"/>
        <v>-14244</v>
      </c>
      <c r="AA24" s="130">
        <f t="shared" si="2"/>
        <v>-1.8</v>
      </c>
      <c r="AB24" s="130">
        <f t="shared" si="3"/>
        <v>-0.22</v>
      </c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</row>
    <row r="25" spans="1:42" s="80" customFormat="1" ht="72" x14ac:dyDescent="0.25">
      <c r="A25" s="72">
        <v>21</v>
      </c>
      <c r="B25" s="269"/>
      <c r="C25" s="72" t="s">
        <v>76</v>
      </c>
      <c r="D25" s="72"/>
      <c r="E25" s="72" t="s">
        <v>46</v>
      </c>
      <c r="F25" s="141" t="s">
        <v>77</v>
      </c>
      <c r="G25" s="140" t="s">
        <v>393</v>
      </c>
      <c r="H25" s="72"/>
      <c r="I25" s="72"/>
      <c r="J25" s="72"/>
      <c r="K25" s="73">
        <f t="shared" si="0"/>
        <v>0</v>
      </c>
      <c r="L25" s="140"/>
      <c r="M25" s="73">
        <f t="shared" si="7"/>
        <v>0</v>
      </c>
      <c r="N25" s="74">
        <f t="shared" si="8"/>
        <v>0</v>
      </c>
      <c r="O25" s="267"/>
      <c r="P25" s="101" t="s">
        <v>348</v>
      </c>
      <c r="Q25" s="114"/>
      <c r="R25" s="137"/>
      <c r="S25" s="111"/>
      <c r="T25" s="116" t="str">
        <f>VLOOKUP(E25,{"简单","33383";"中等","44510";"复杂","71216"},2,0)</f>
        <v>44510</v>
      </c>
      <c r="U25" s="111"/>
      <c r="V25" s="116">
        <v>1.8</v>
      </c>
      <c r="W25" s="112" t="s">
        <v>461</v>
      </c>
      <c r="X25" s="117">
        <v>0.22</v>
      </c>
      <c r="Y25" s="111"/>
      <c r="Z25" s="130">
        <f t="shared" si="1"/>
        <v>-44510</v>
      </c>
      <c r="AA25" s="130">
        <f t="shared" si="2"/>
        <v>-1.8</v>
      </c>
      <c r="AB25" s="130">
        <f t="shared" si="3"/>
        <v>-0.22</v>
      </c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</row>
    <row r="26" spans="1:42" s="80" customFormat="1" ht="22.8" customHeight="1" x14ac:dyDescent="0.25">
      <c r="A26" s="72">
        <v>22</v>
      </c>
      <c r="B26" s="269"/>
      <c r="C26" s="72" t="s">
        <v>76</v>
      </c>
      <c r="D26" s="72"/>
      <c r="E26" s="72" t="s">
        <v>50</v>
      </c>
      <c r="F26" s="141" t="s">
        <v>77</v>
      </c>
      <c r="G26" s="140" t="s">
        <v>393</v>
      </c>
      <c r="H26" s="72"/>
      <c r="I26" s="72">
        <v>0.4</v>
      </c>
      <c r="J26" s="72"/>
      <c r="K26" s="73">
        <f t="shared" si="0"/>
        <v>0</v>
      </c>
      <c r="L26" s="140"/>
      <c r="M26" s="73">
        <f t="shared" si="7"/>
        <v>0</v>
      </c>
      <c r="N26" s="74">
        <f t="shared" si="8"/>
        <v>0</v>
      </c>
      <c r="O26" s="267"/>
      <c r="P26" s="101" t="s">
        <v>348</v>
      </c>
      <c r="Q26" s="114"/>
      <c r="R26" s="137"/>
      <c r="S26" s="111"/>
      <c r="T26" s="116" t="str">
        <f>VLOOKUP(E26,{"简单","33383";"中等","44510";"复杂","71216"},2,0)</f>
        <v>71216</v>
      </c>
      <c r="U26" s="118"/>
      <c r="V26" s="116">
        <v>1.8</v>
      </c>
      <c r="W26" s="113"/>
      <c r="X26" s="117">
        <v>0.22</v>
      </c>
      <c r="Y26" s="113"/>
      <c r="Z26" s="130">
        <f t="shared" si="1"/>
        <v>-71216</v>
      </c>
      <c r="AA26" s="130">
        <f t="shared" si="2"/>
        <v>-1.8</v>
      </c>
      <c r="AB26" s="130">
        <f t="shared" si="3"/>
        <v>-0.22</v>
      </c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</row>
    <row r="27" spans="1:42" s="80" customFormat="1" ht="22.8" customHeight="1" x14ac:dyDescent="0.25">
      <c r="A27" s="72">
        <v>23</v>
      </c>
      <c r="B27" s="269"/>
      <c r="C27" s="72" t="s">
        <v>78</v>
      </c>
      <c r="D27" s="72"/>
      <c r="E27" s="72" t="s">
        <v>50</v>
      </c>
      <c r="F27" s="141" t="s">
        <v>79</v>
      </c>
      <c r="G27" s="140" t="s">
        <v>393</v>
      </c>
      <c r="H27" s="72"/>
      <c r="I27" s="72">
        <v>0.63200000000000001</v>
      </c>
      <c r="J27" s="72"/>
      <c r="K27" s="73">
        <f t="shared" si="0"/>
        <v>0</v>
      </c>
      <c r="L27" s="140"/>
      <c r="M27" s="73">
        <f t="shared" ref="M27:M32" si="9">K27*L27</f>
        <v>0</v>
      </c>
      <c r="N27" s="74">
        <f t="shared" ref="N27:N32" si="10">K27+M27</f>
        <v>0</v>
      </c>
      <c r="O27" s="267"/>
      <c r="P27" s="101" t="s">
        <v>80</v>
      </c>
      <c r="Q27" s="114"/>
      <c r="R27" s="137"/>
      <c r="S27" s="111"/>
      <c r="T27" s="116" t="str">
        <f>VLOOKUP(E27,{"简单","15174";"中等","20232";"复杂","32374"},2,0)</f>
        <v>32374</v>
      </c>
      <c r="U27" s="111"/>
      <c r="V27" s="116">
        <v>1.5</v>
      </c>
      <c r="W27" s="111"/>
      <c r="X27" s="117">
        <v>0.22</v>
      </c>
      <c r="Y27" s="111"/>
      <c r="Z27" s="130">
        <f t="shared" si="1"/>
        <v>-32374</v>
      </c>
      <c r="AA27" s="130">
        <f t="shared" si="2"/>
        <v>-1.5</v>
      </c>
      <c r="AB27" s="130">
        <f t="shared" si="3"/>
        <v>-0.22</v>
      </c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</row>
    <row r="28" spans="1:42" s="80" customFormat="1" ht="22.8" customHeight="1" x14ac:dyDescent="0.25">
      <c r="A28" s="72">
        <v>24</v>
      </c>
      <c r="B28" s="269"/>
      <c r="C28" s="72" t="s">
        <v>81</v>
      </c>
      <c r="D28" s="72"/>
      <c r="E28" s="72" t="s">
        <v>50</v>
      </c>
      <c r="F28" s="141" t="s">
        <v>79</v>
      </c>
      <c r="G28" s="140" t="s">
        <v>393</v>
      </c>
      <c r="H28" s="72"/>
      <c r="I28" s="72">
        <v>0.28000000000000003</v>
      </c>
      <c r="J28" s="72"/>
      <c r="K28" s="73">
        <f t="shared" si="0"/>
        <v>0</v>
      </c>
      <c r="L28" s="140"/>
      <c r="M28" s="73">
        <f t="shared" si="9"/>
        <v>0</v>
      </c>
      <c r="N28" s="74">
        <f t="shared" si="10"/>
        <v>0</v>
      </c>
      <c r="O28" s="82" t="s">
        <v>82</v>
      </c>
      <c r="P28" s="101" t="s">
        <v>80</v>
      </c>
      <c r="Q28" s="114"/>
      <c r="R28" s="137"/>
      <c r="S28" s="111"/>
      <c r="T28" s="116" t="str">
        <f>VLOOKUP(E28,{"简单","40464";"中等","53817";"复杂","75680"},2,0)</f>
        <v>75680</v>
      </c>
      <c r="U28" s="111"/>
      <c r="V28" s="116">
        <v>1.5</v>
      </c>
      <c r="W28" s="111"/>
      <c r="X28" s="117">
        <v>0.22</v>
      </c>
      <c r="Y28" s="111"/>
      <c r="Z28" s="130">
        <f t="shared" si="1"/>
        <v>-75680</v>
      </c>
      <c r="AA28" s="130">
        <f t="shared" si="2"/>
        <v>-1.5</v>
      </c>
      <c r="AB28" s="130">
        <f t="shared" si="3"/>
        <v>-0.22</v>
      </c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</row>
    <row r="29" spans="1:42" s="80" customFormat="1" ht="22.8" customHeight="1" x14ac:dyDescent="0.25">
      <c r="A29" s="72">
        <v>25</v>
      </c>
      <c r="B29" s="269"/>
      <c r="C29" s="72" t="s">
        <v>83</v>
      </c>
      <c r="D29" s="72"/>
      <c r="E29" s="72" t="s">
        <v>50</v>
      </c>
      <c r="F29" s="141" t="s">
        <v>79</v>
      </c>
      <c r="G29" s="140" t="s">
        <v>393</v>
      </c>
      <c r="H29" s="72"/>
      <c r="I29" s="72"/>
      <c r="J29" s="72"/>
      <c r="K29" s="73">
        <f t="shared" si="0"/>
        <v>0</v>
      </c>
      <c r="L29" s="140"/>
      <c r="M29" s="73">
        <f t="shared" si="9"/>
        <v>0</v>
      </c>
      <c r="N29" s="74">
        <f t="shared" si="10"/>
        <v>0</v>
      </c>
      <c r="O29" s="267" t="s">
        <v>84</v>
      </c>
      <c r="P29" s="101" t="s">
        <v>80</v>
      </c>
      <c r="Q29" s="114"/>
      <c r="R29" s="137"/>
      <c r="S29" s="111"/>
      <c r="T29" s="116" t="str">
        <f>VLOOKUP(E29,{"简单","15174";"中等","20232";"复杂","32374"},2,0)</f>
        <v>32374</v>
      </c>
      <c r="U29" s="111"/>
      <c r="V29" s="116">
        <v>1.5</v>
      </c>
      <c r="W29" s="111"/>
      <c r="X29" s="117">
        <v>0.22</v>
      </c>
      <c r="Y29" s="111"/>
      <c r="Z29" s="130">
        <f t="shared" si="1"/>
        <v>-32374</v>
      </c>
      <c r="AA29" s="130">
        <f t="shared" si="2"/>
        <v>-1.5</v>
      </c>
      <c r="AB29" s="130">
        <f t="shared" si="3"/>
        <v>-0.22</v>
      </c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</row>
    <row r="30" spans="1:42" s="80" customFormat="1" ht="22.8" customHeight="1" x14ac:dyDescent="0.25">
      <c r="A30" s="72">
        <v>26</v>
      </c>
      <c r="B30" s="269"/>
      <c r="C30" s="75" t="s">
        <v>85</v>
      </c>
      <c r="D30" s="75"/>
      <c r="E30" s="75" t="s">
        <v>50</v>
      </c>
      <c r="F30" s="141" t="s">
        <v>79</v>
      </c>
      <c r="G30" s="140" t="s">
        <v>393</v>
      </c>
      <c r="H30" s="72"/>
      <c r="I30" s="72"/>
      <c r="J30" s="72"/>
      <c r="K30" s="73">
        <f t="shared" si="0"/>
        <v>0</v>
      </c>
      <c r="L30" s="140"/>
      <c r="M30" s="73">
        <f t="shared" si="9"/>
        <v>0</v>
      </c>
      <c r="N30" s="74">
        <f t="shared" si="10"/>
        <v>0</v>
      </c>
      <c r="O30" s="267"/>
      <c r="P30" s="101" t="s">
        <v>348</v>
      </c>
      <c r="Q30" s="114"/>
      <c r="R30" s="137"/>
      <c r="S30" s="111"/>
      <c r="T30" s="116" t="str">
        <f>VLOOKUP(E30,{"简单","15174";"中等","20232";"复杂","32374"},2,0)</f>
        <v>32374</v>
      </c>
      <c r="U30" s="111"/>
      <c r="V30" s="116">
        <v>1.8</v>
      </c>
      <c r="W30" s="111" t="s">
        <v>479</v>
      </c>
      <c r="X30" s="117">
        <v>0.22</v>
      </c>
      <c r="Y30" s="111"/>
      <c r="Z30" s="130">
        <f t="shared" si="1"/>
        <v>-32374</v>
      </c>
      <c r="AA30" s="130">
        <f t="shared" si="2"/>
        <v>-1.8</v>
      </c>
      <c r="AB30" s="130">
        <f t="shared" si="3"/>
        <v>-0.22</v>
      </c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</row>
    <row r="31" spans="1:42" s="80" customFormat="1" ht="22.8" customHeight="1" x14ac:dyDescent="0.25">
      <c r="A31" s="72">
        <v>27</v>
      </c>
      <c r="B31" s="269"/>
      <c r="C31" s="72" t="s">
        <v>511</v>
      </c>
      <c r="D31" s="72"/>
      <c r="E31" s="72" t="s">
        <v>50</v>
      </c>
      <c r="F31" s="141" t="s">
        <v>77</v>
      </c>
      <c r="G31" s="140" t="s">
        <v>393</v>
      </c>
      <c r="H31" s="72"/>
      <c r="I31" s="72">
        <v>0.5</v>
      </c>
      <c r="J31" s="72"/>
      <c r="K31" s="73">
        <f t="shared" si="0"/>
        <v>0</v>
      </c>
      <c r="L31" s="140"/>
      <c r="M31" s="73">
        <f t="shared" si="9"/>
        <v>0</v>
      </c>
      <c r="N31" s="74">
        <f t="shared" si="10"/>
        <v>0</v>
      </c>
      <c r="O31" s="267"/>
      <c r="P31" s="101" t="s">
        <v>80</v>
      </c>
      <c r="Q31" s="114"/>
      <c r="R31" s="137"/>
      <c r="S31" s="111"/>
      <c r="T31" s="116" t="str">
        <f>VLOOKUP(E31,{"简单","33383";"中等","44510";"复杂","71216"},2,0)</f>
        <v>71216</v>
      </c>
      <c r="U31" s="111"/>
      <c r="V31" s="116">
        <v>1.5</v>
      </c>
      <c r="W31" s="111"/>
      <c r="X31" s="117">
        <v>0.22</v>
      </c>
      <c r="Y31" s="111"/>
      <c r="Z31" s="130">
        <f t="shared" si="1"/>
        <v>-71216</v>
      </c>
      <c r="AA31" s="130">
        <f t="shared" si="2"/>
        <v>-1.5</v>
      </c>
      <c r="AB31" s="130">
        <f t="shared" si="3"/>
        <v>-0.22</v>
      </c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</row>
    <row r="32" spans="1:42" s="80" customFormat="1" ht="22.8" customHeight="1" x14ac:dyDescent="0.25">
      <c r="A32" s="72">
        <v>28</v>
      </c>
      <c r="B32" s="269"/>
      <c r="C32" s="72" t="s">
        <v>86</v>
      </c>
      <c r="D32" s="72"/>
      <c r="E32" s="72" t="s">
        <v>46</v>
      </c>
      <c r="F32" s="141" t="s">
        <v>77</v>
      </c>
      <c r="G32" s="140" t="s">
        <v>393</v>
      </c>
      <c r="H32" s="72"/>
      <c r="I32" s="72"/>
      <c r="J32" s="72"/>
      <c r="K32" s="73">
        <f t="shared" si="0"/>
        <v>0</v>
      </c>
      <c r="L32" s="140"/>
      <c r="M32" s="73">
        <f t="shared" si="9"/>
        <v>0</v>
      </c>
      <c r="N32" s="74">
        <f t="shared" si="10"/>
        <v>0</v>
      </c>
      <c r="O32" s="267"/>
      <c r="P32" s="101" t="s">
        <v>80</v>
      </c>
      <c r="Q32" s="114"/>
      <c r="R32" s="137"/>
      <c r="S32" s="111"/>
      <c r="T32" s="116" t="str">
        <f>VLOOKUP(E32,{"简单","33383";"中等","44510";"复杂","71216"},2,0)</f>
        <v>44510</v>
      </c>
      <c r="U32" s="111"/>
      <c r="V32" s="116">
        <v>1.5</v>
      </c>
      <c r="W32" s="111"/>
      <c r="X32" s="117">
        <v>0.22</v>
      </c>
      <c r="Y32" s="111"/>
      <c r="Z32" s="130">
        <f t="shared" si="1"/>
        <v>-44510</v>
      </c>
      <c r="AA32" s="130">
        <f t="shared" si="2"/>
        <v>-1.5</v>
      </c>
      <c r="AB32" s="130">
        <f t="shared" si="3"/>
        <v>-0.22</v>
      </c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</row>
    <row r="33" spans="1:42" s="80" customFormat="1" ht="22.8" customHeight="1" x14ac:dyDescent="0.25">
      <c r="A33" s="72">
        <v>29</v>
      </c>
      <c r="B33" s="269"/>
      <c r="C33" s="72" t="s">
        <v>512</v>
      </c>
      <c r="D33" s="72"/>
      <c r="E33" s="72" t="s">
        <v>50</v>
      </c>
      <c r="F33" s="141" t="s">
        <v>62</v>
      </c>
      <c r="G33" s="140" t="s">
        <v>393</v>
      </c>
      <c r="H33" s="72"/>
      <c r="I33" s="72">
        <v>2</v>
      </c>
      <c r="J33" s="72"/>
      <c r="K33" s="73">
        <f t="shared" si="0"/>
        <v>0</v>
      </c>
      <c r="L33" s="140"/>
      <c r="M33" s="73">
        <f t="shared" ref="M33:M36" si="11">K33*L33</f>
        <v>0</v>
      </c>
      <c r="N33" s="74">
        <f t="shared" ref="N33:N36" si="12">K33+M33</f>
        <v>0</v>
      </c>
      <c r="O33" s="267"/>
      <c r="P33" s="101" t="s">
        <v>80</v>
      </c>
      <c r="Q33" s="114"/>
      <c r="R33" s="137"/>
      <c r="S33" s="111"/>
      <c r="T33" s="116" t="str">
        <f>VLOOKUP(E33,{"简单","6676";"中等","8901";"复杂","14244"},2,0)</f>
        <v>14244</v>
      </c>
      <c r="U33" s="111"/>
      <c r="V33" s="116">
        <v>1.5</v>
      </c>
      <c r="W33" s="111"/>
      <c r="X33" s="117">
        <v>0.22</v>
      </c>
      <c r="Y33" s="111"/>
      <c r="Z33" s="130">
        <f t="shared" si="1"/>
        <v>-14244</v>
      </c>
      <c r="AA33" s="130">
        <f t="shared" si="2"/>
        <v>-1.5</v>
      </c>
      <c r="AB33" s="130">
        <f t="shared" si="3"/>
        <v>-0.22</v>
      </c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</row>
    <row r="34" spans="1:42" s="80" customFormat="1" ht="22.8" customHeight="1" x14ac:dyDescent="0.25">
      <c r="A34" s="72">
        <v>30</v>
      </c>
      <c r="B34" s="269"/>
      <c r="C34" s="72" t="s">
        <v>87</v>
      </c>
      <c r="D34" s="72"/>
      <c r="E34" s="72" t="s">
        <v>46</v>
      </c>
      <c r="F34" s="141" t="s">
        <v>62</v>
      </c>
      <c r="G34" s="140" t="s">
        <v>393</v>
      </c>
      <c r="H34" s="72"/>
      <c r="I34" s="72"/>
      <c r="J34" s="72"/>
      <c r="K34" s="73">
        <f t="shared" si="0"/>
        <v>0</v>
      </c>
      <c r="L34" s="140"/>
      <c r="M34" s="73">
        <f t="shared" si="11"/>
        <v>0</v>
      </c>
      <c r="N34" s="74">
        <f t="shared" si="12"/>
        <v>0</v>
      </c>
      <c r="O34" s="267"/>
      <c r="P34" s="101" t="s">
        <v>80</v>
      </c>
      <c r="Q34" s="114"/>
      <c r="R34" s="137"/>
      <c r="S34" s="111"/>
      <c r="T34" s="116" t="str">
        <f>VLOOKUP(E34,{"简单","6676";"中等","8901";"复杂","14244"},2,0)</f>
        <v>8901</v>
      </c>
      <c r="U34" s="111"/>
      <c r="V34" s="116">
        <v>1.5</v>
      </c>
      <c r="W34" s="111"/>
      <c r="X34" s="117">
        <v>0.22</v>
      </c>
      <c r="Y34" s="111"/>
      <c r="Z34" s="130">
        <f t="shared" si="1"/>
        <v>-8901</v>
      </c>
      <c r="AA34" s="130">
        <f t="shared" si="2"/>
        <v>-1.5</v>
      </c>
      <c r="AB34" s="130">
        <f t="shared" si="3"/>
        <v>-0.22</v>
      </c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</row>
    <row r="35" spans="1:42" s="80" customFormat="1" ht="22.8" customHeight="1" x14ac:dyDescent="0.25">
      <c r="A35" s="72">
        <v>31</v>
      </c>
      <c r="B35" s="269"/>
      <c r="C35" s="72" t="s">
        <v>516</v>
      </c>
      <c r="D35" s="72"/>
      <c r="E35" s="72" t="s">
        <v>50</v>
      </c>
      <c r="F35" s="141" t="s">
        <v>77</v>
      </c>
      <c r="G35" s="140" t="s">
        <v>393</v>
      </c>
      <c r="H35" s="72"/>
      <c r="I35" s="72">
        <v>0.72</v>
      </c>
      <c r="J35" s="72"/>
      <c r="K35" s="73">
        <f t="shared" si="0"/>
        <v>0</v>
      </c>
      <c r="L35" s="140"/>
      <c r="M35" s="73">
        <f t="shared" si="11"/>
        <v>0</v>
      </c>
      <c r="N35" s="74">
        <f t="shared" si="12"/>
        <v>0</v>
      </c>
      <c r="O35" s="267"/>
      <c r="P35" s="101" t="s">
        <v>80</v>
      </c>
      <c r="Q35" s="114"/>
      <c r="R35" s="137"/>
      <c r="S35" s="111"/>
      <c r="T35" s="116" t="str">
        <f>VLOOKUP(E35,{"简单","33383";"中等","44510";"复杂","71216"},2,0)</f>
        <v>71216</v>
      </c>
      <c r="U35" s="111"/>
      <c r="V35" s="116">
        <v>1.5</v>
      </c>
      <c r="W35" s="111"/>
      <c r="X35" s="117">
        <v>0.22</v>
      </c>
      <c r="Y35" s="111"/>
      <c r="Z35" s="130">
        <f t="shared" si="1"/>
        <v>-71216</v>
      </c>
      <c r="AA35" s="130">
        <f t="shared" si="2"/>
        <v>-1.5</v>
      </c>
      <c r="AB35" s="130">
        <f t="shared" si="3"/>
        <v>-0.22</v>
      </c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</row>
    <row r="36" spans="1:42" s="80" customFormat="1" ht="22.8" customHeight="1" x14ac:dyDescent="0.25">
      <c r="A36" s="72">
        <v>32</v>
      </c>
      <c r="B36" s="269"/>
      <c r="C36" s="72" t="s">
        <v>88</v>
      </c>
      <c r="D36" s="72"/>
      <c r="E36" s="72" t="s">
        <v>46</v>
      </c>
      <c r="F36" s="141" t="s">
        <v>77</v>
      </c>
      <c r="G36" s="140" t="s">
        <v>393</v>
      </c>
      <c r="H36" s="72"/>
      <c r="I36" s="72"/>
      <c r="J36" s="72"/>
      <c r="K36" s="73">
        <f t="shared" si="0"/>
        <v>0</v>
      </c>
      <c r="L36" s="140"/>
      <c r="M36" s="73">
        <f t="shared" si="11"/>
        <v>0</v>
      </c>
      <c r="N36" s="74">
        <f t="shared" si="12"/>
        <v>0</v>
      </c>
      <c r="O36" s="267"/>
      <c r="P36" s="101" t="s">
        <v>80</v>
      </c>
      <c r="Q36" s="114"/>
      <c r="R36" s="137"/>
      <c r="S36" s="111"/>
      <c r="T36" s="116" t="str">
        <f>VLOOKUP(E36,{"简单","33383";"中等","44510";"复杂","71216"},2,0)</f>
        <v>44510</v>
      </c>
      <c r="U36" s="111"/>
      <c r="V36" s="116">
        <v>1.5</v>
      </c>
      <c r="W36" s="111"/>
      <c r="X36" s="117">
        <v>0.22</v>
      </c>
      <c r="Y36" s="111"/>
      <c r="Z36" s="130">
        <f t="shared" si="1"/>
        <v>-44510</v>
      </c>
      <c r="AA36" s="130">
        <f t="shared" si="2"/>
        <v>-1.5</v>
      </c>
      <c r="AB36" s="130">
        <f t="shared" si="3"/>
        <v>-0.22</v>
      </c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</row>
    <row r="37" spans="1:42" s="80" customFormat="1" ht="22.8" customHeight="1" x14ac:dyDescent="0.25">
      <c r="A37" s="72">
        <v>33</v>
      </c>
      <c r="B37" s="269"/>
      <c r="C37" s="72" t="s">
        <v>89</v>
      </c>
      <c r="D37" s="72"/>
      <c r="E37" s="72" t="s">
        <v>46</v>
      </c>
      <c r="F37" s="141" t="s">
        <v>77</v>
      </c>
      <c r="G37" s="140" t="s">
        <v>393</v>
      </c>
      <c r="H37" s="72"/>
      <c r="I37" s="72"/>
      <c r="J37" s="72"/>
      <c r="K37" s="73">
        <f t="shared" si="0"/>
        <v>0</v>
      </c>
      <c r="L37" s="140"/>
      <c r="M37" s="73">
        <f t="shared" ref="M37:M48" si="13">K37*L37</f>
        <v>0</v>
      </c>
      <c r="N37" s="74">
        <f t="shared" ref="N37:N48" si="14">K37+M37</f>
        <v>0</v>
      </c>
      <c r="O37" s="267"/>
      <c r="P37" s="101" t="s">
        <v>80</v>
      </c>
      <c r="Q37" s="114"/>
      <c r="R37" s="137"/>
      <c r="S37" s="111"/>
      <c r="T37" s="116" t="str">
        <f>VLOOKUP(E37,{"简单","33383";"中等","44510";"复杂","71216"},2,0)</f>
        <v>44510</v>
      </c>
      <c r="U37" s="111"/>
      <c r="V37" s="116">
        <v>1.5</v>
      </c>
      <c r="W37" s="111"/>
      <c r="X37" s="117">
        <v>0.22</v>
      </c>
      <c r="Y37" s="111"/>
      <c r="Z37" s="130">
        <f t="shared" si="1"/>
        <v>-44510</v>
      </c>
      <c r="AA37" s="130">
        <f t="shared" si="2"/>
        <v>-1.5</v>
      </c>
      <c r="AB37" s="130">
        <f t="shared" si="3"/>
        <v>-0.22</v>
      </c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</row>
    <row r="38" spans="1:42" s="80" customFormat="1" ht="22.8" customHeight="1" x14ac:dyDescent="0.25">
      <c r="A38" s="72">
        <v>34</v>
      </c>
      <c r="B38" s="269" t="s">
        <v>519</v>
      </c>
      <c r="C38" s="72" t="s">
        <v>90</v>
      </c>
      <c r="D38" s="72"/>
      <c r="E38" s="72" t="s">
        <v>46</v>
      </c>
      <c r="F38" s="141" t="s">
        <v>62</v>
      </c>
      <c r="G38" s="140" t="s">
        <v>33</v>
      </c>
      <c r="H38" s="72"/>
      <c r="I38" s="72"/>
      <c r="J38" s="72"/>
      <c r="K38" s="73">
        <f t="shared" si="0"/>
        <v>0</v>
      </c>
      <c r="L38" s="140"/>
      <c r="M38" s="73">
        <f t="shared" si="13"/>
        <v>0</v>
      </c>
      <c r="N38" s="74">
        <f t="shared" si="14"/>
        <v>0</v>
      </c>
      <c r="O38" s="267"/>
      <c r="P38" s="101" t="s">
        <v>80</v>
      </c>
      <c r="Q38" s="114"/>
      <c r="R38" s="137"/>
      <c r="S38" s="111"/>
      <c r="T38" s="116" t="str">
        <f>VLOOKUP(E38,{"简单","468";"中等","625";"复杂","860"},2,0)</f>
        <v>625</v>
      </c>
      <c r="U38" s="111"/>
      <c r="V38" s="116">
        <v>1.5</v>
      </c>
      <c r="W38" s="111"/>
      <c r="X38" s="117">
        <v>0.22</v>
      </c>
      <c r="Y38" s="111"/>
      <c r="Z38" s="130">
        <f t="shared" si="1"/>
        <v>-625</v>
      </c>
      <c r="AA38" s="130">
        <f t="shared" si="2"/>
        <v>-1.5</v>
      </c>
      <c r="AB38" s="130">
        <f t="shared" si="3"/>
        <v>-0.22</v>
      </c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</row>
    <row r="39" spans="1:42" s="80" customFormat="1" ht="22.8" customHeight="1" x14ac:dyDescent="0.25">
      <c r="A39" s="72">
        <v>35</v>
      </c>
      <c r="B39" s="269"/>
      <c r="C39" s="72" t="s">
        <v>513</v>
      </c>
      <c r="D39" s="72"/>
      <c r="E39" s="72" t="s">
        <v>50</v>
      </c>
      <c r="F39" s="141" t="s">
        <v>62</v>
      </c>
      <c r="G39" s="140" t="s">
        <v>33</v>
      </c>
      <c r="H39" s="72"/>
      <c r="I39" s="72">
        <v>7.16</v>
      </c>
      <c r="J39" s="72"/>
      <c r="K39" s="73">
        <f t="shared" si="0"/>
        <v>0</v>
      </c>
      <c r="L39" s="140"/>
      <c r="M39" s="73">
        <f t="shared" si="13"/>
        <v>0</v>
      </c>
      <c r="N39" s="74">
        <f t="shared" si="14"/>
        <v>0</v>
      </c>
      <c r="O39" s="267"/>
      <c r="P39" s="101" t="s">
        <v>91</v>
      </c>
      <c r="Q39" s="114"/>
      <c r="R39" s="137"/>
      <c r="S39" s="111"/>
      <c r="T39" s="116" t="str">
        <f>VLOOKUP(E39,{"简单","468";"中等","625";"复杂","860"},2,0)</f>
        <v>860</v>
      </c>
      <c r="U39" s="111"/>
      <c r="V39" s="116">
        <v>1.3</v>
      </c>
      <c r="W39" s="111"/>
      <c r="X39" s="117">
        <v>0.22</v>
      </c>
      <c r="Y39" s="111"/>
      <c r="Z39" s="130">
        <f t="shared" si="1"/>
        <v>-860</v>
      </c>
      <c r="AA39" s="130">
        <f t="shared" si="2"/>
        <v>-1.3</v>
      </c>
      <c r="AB39" s="130">
        <f t="shared" si="3"/>
        <v>-0.22</v>
      </c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</row>
    <row r="40" spans="1:42" s="80" customFormat="1" ht="22.8" customHeight="1" x14ac:dyDescent="0.25">
      <c r="A40" s="72">
        <v>36</v>
      </c>
      <c r="B40" s="269"/>
      <c r="C40" s="72" t="s">
        <v>514</v>
      </c>
      <c r="D40" s="72"/>
      <c r="E40" s="72" t="s">
        <v>50</v>
      </c>
      <c r="F40" s="141" t="s">
        <v>77</v>
      </c>
      <c r="G40" s="140" t="s">
        <v>33</v>
      </c>
      <c r="H40" s="72"/>
      <c r="I40" s="72">
        <v>2.8</v>
      </c>
      <c r="J40" s="72"/>
      <c r="K40" s="73">
        <f t="shared" si="0"/>
        <v>0</v>
      </c>
      <c r="L40" s="140"/>
      <c r="M40" s="73">
        <f t="shared" si="13"/>
        <v>0</v>
      </c>
      <c r="N40" s="74">
        <f t="shared" si="14"/>
        <v>0</v>
      </c>
      <c r="O40" s="267"/>
      <c r="P40" s="101" t="s">
        <v>91</v>
      </c>
      <c r="Q40" s="114"/>
      <c r="R40" s="139"/>
      <c r="S40" s="111"/>
      <c r="T40" s="116" t="str">
        <f>VLOOKUP(E40,{"简单","785";"中等","1047";"复杂","1440"},2,0)</f>
        <v>1440</v>
      </c>
      <c r="U40" s="111"/>
      <c r="V40" s="116">
        <v>1.3</v>
      </c>
      <c r="W40" s="111"/>
      <c r="X40" s="117">
        <v>0.22</v>
      </c>
      <c r="Y40" s="111"/>
      <c r="Z40" s="130">
        <f t="shared" si="1"/>
        <v>-1440</v>
      </c>
      <c r="AA40" s="130">
        <f t="shared" si="2"/>
        <v>-1.3</v>
      </c>
      <c r="AB40" s="130">
        <f t="shared" si="3"/>
        <v>-0.22</v>
      </c>
      <c r="AC40" s="139"/>
      <c r="AD40" s="137"/>
      <c r="AE40" s="139"/>
      <c r="AF40" s="137"/>
      <c r="AG40" s="137"/>
      <c r="AH40" s="137"/>
      <c r="AI40" s="137"/>
      <c r="AJ40" s="137"/>
      <c r="AK40" s="137"/>
      <c r="AL40" s="139"/>
      <c r="AM40" s="137"/>
      <c r="AN40" s="139"/>
      <c r="AO40" s="139"/>
      <c r="AP40" s="139"/>
    </row>
    <row r="41" spans="1:42" s="80" customFormat="1" ht="22.8" customHeight="1" x14ac:dyDescent="0.25">
      <c r="A41" s="72">
        <v>37</v>
      </c>
      <c r="B41" s="269"/>
      <c r="C41" s="72" t="s">
        <v>515</v>
      </c>
      <c r="D41" s="72"/>
      <c r="E41" s="72" t="s">
        <v>46</v>
      </c>
      <c r="F41" s="141" t="s">
        <v>79</v>
      </c>
      <c r="G41" s="141" t="s">
        <v>33</v>
      </c>
      <c r="H41" s="72"/>
      <c r="I41" s="72">
        <v>1.58</v>
      </c>
      <c r="J41" s="72"/>
      <c r="K41" s="73">
        <f t="shared" si="0"/>
        <v>0</v>
      </c>
      <c r="L41" s="140"/>
      <c r="M41" s="73">
        <f t="shared" si="13"/>
        <v>0</v>
      </c>
      <c r="N41" s="74">
        <f t="shared" si="14"/>
        <v>0</v>
      </c>
      <c r="O41" s="267"/>
      <c r="P41" s="101"/>
      <c r="Q41" s="114"/>
      <c r="R41" s="137"/>
      <c r="S41" s="111"/>
      <c r="T41" s="116" t="str">
        <f>VLOOKUP(E41,{"简单","607";"中等","809";"复杂","1113"},2,0)</f>
        <v>809</v>
      </c>
      <c r="U41" s="111"/>
      <c r="V41" s="116">
        <v>1</v>
      </c>
      <c r="W41" s="111"/>
      <c r="X41" s="117">
        <v>0.22</v>
      </c>
      <c r="Y41" s="111"/>
      <c r="Z41" s="130">
        <f t="shared" si="1"/>
        <v>-809</v>
      </c>
      <c r="AA41" s="130">
        <f t="shared" si="2"/>
        <v>-1</v>
      </c>
      <c r="AB41" s="130">
        <f t="shared" si="3"/>
        <v>-0.22</v>
      </c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</row>
    <row r="42" spans="1:42" s="80" customFormat="1" ht="22.8" customHeight="1" x14ac:dyDescent="0.25">
      <c r="A42" s="72">
        <v>38</v>
      </c>
      <c r="B42" s="269"/>
      <c r="C42" s="72" t="s">
        <v>81</v>
      </c>
      <c r="D42" s="72"/>
      <c r="E42" s="72" t="s">
        <v>46</v>
      </c>
      <c r="F42" s="141" t="s">
        <v>79</v>
      </c>
      <c r="G42" s="141" t="s">
        <v>33</v>
      </c>
      <c r="H42" s="72"/>
      <c r="I42" s="72">
        <v>0.7</v>
      </c>
      <c r="J42" s="72"/>
      <c r="K42" s="73">
        <f t="shared" si="0"/>
        <v>0</v>
      </c>
      <c r="L42" s="140"/>
      <c r="M42" s="73">
        <f t="shared" si="13"/>
        <v>0</v>
      </c>
      <c r="N42" s="74">
        <f t="shared" si="14"/>
        <v>0</v>
      </c>
      <c r="O42" s="75" t="s">
        <v>82</v>
      </c>
      <c r="P42" s="101"/>
      <c r="Q42" s="114"/>
      <c r="R42" s="137"/>
      <c r="S42" s="111"/>
      <c r="T42" s="116" t="str">
        <f>VLOOKUP(E42,{"简单","2023";"中等","2698";"复杂","4046"},2,0)</f>
        <v>2698</v>
      </c>
      <c r="U42" s="111"/>
      <c r="V42" s="116">
        <v>1</v>
      </c>
      <c r="W42" s="111"/>
      <c r="X42" s="117">
        <v>0.22</v>
      </c>
      <c r="Y42" s="111"/>
      <c r="Z42" s="130">
        <f t="shared" si="1"/>
        <v>-2698</v>
      </c>
      <c r="AA42" s="130">
        <f t="shared" si="2"/>
        <v>-1</v>
      </c>
      <c r="AB42" s="130">
        <f t="shared" si="3"/>
        <v>-0.22</v>
      </c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</row>
    <row r="43" spans="1:42" s="80" customFormat="1" ht="22.8" customHeight="1" x14ac:dyDescent="0.25">
      <c r="A43" s="72">
        <v>39</v>
      </c>
      <c r="B43" s="269"/>
      <c r="C43" s="72" t="s">
        <v>83</v>
      </c>
      <c r="D43" s="72"/>
      <c r="E43" s="72" t="s">
        <v>46</v>
      </c>
      <c r="F43" s="141" t="s">
        <v>79</v>
      </c>
      <c r="G43" s="141" t="s">
        <v>33</v>
      </c>
      <c r="H43" s="72"/>
      <c r="I43" s="72"/>
      <c r="J43" s="72"/>
      <c r="K43" s="73">
        <f t="shared" si="0"/>
        <v>0</v>
      </c>
      <c r="L43" s="140"/>
      <c r="M43" s="73">
        <f t="shared" si="13"/>
        <v>0</v>
      </c>
      <c r="N43" s="74">
        <f t="shared" si="14"/>
        <v>0</v>
      </c>
      <c r="O43" s="268" t="s">
        <v>84</v>
      </c>
      <c r="P43" s="101" t="s">
        <v>80</v>
      </c>
      <c r="Q43" s="114"/>
      <c r="R43" s="137"/>
      <c r="S43" s="111"/>
      <c r="T43" s="116" t="str">
        <f>VLOOKUP(E43,{"简单","607";"中等","809";"复杂","1113"},2,0)</f>
        <v>809</v>
      </c>
      <c r="U43" s="111"/>
      <c r="V43" s="116">
        <v>1.5</v>
      </c>
      <c r="W43" s="111"/>
      <c r="X43" s="117">
        <v>0.22</v>
      </c>
      <c r="Y43" s="111"/>
      <c r="Z43" s="130">
        <f t="shared" si="1"/>
        <v>-809</v>
      </c>
      <c r="AA43" s="130">
        <f t="shared" si="2"/>
        <v>-1.5</v>
      </c>
      <c r="AB43" s="130">
        <f t="shared" si="3"/>
        <v>-0.22</v>
      </c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</row>
    <row r="44" spans="1:42" s="80" customFormat="1" ht="22.8" customHeight="1" x14ac:dyDescent="0.25">
      <c r="A44" s="72">
        <v>40</v>
      </c>
      <c r="B44" s="269"/>
      <c r="C44" s="75" t="s">
        <v>85</v>
      </c>
      <c r="D44" s="75"/>
      <c r="E44" s="75" t="s">
        <v>50</v>
      </c>
      <c r="F44" s="141" t="s">
        <v>79</v>
      </c>
      <c r="G44" s="140" t="s">
        <v>33</v>
      </c>
      <c r="H44" s="72"/>
      <c r="I44" s="72"/>
      <c r="J44" s="72"/>
      <c r="K44" s="73">
        <f t="shared" si="0"/>
        <v>0</v>
      </c>
      <c r="L44" s="140"/>
      <c r="M44" s="73">
        <f t="shared" si="13"/>
        <v>0</v>
      </c>
      <c r="N44" s="74">
        <f t="shared" si="14"/>
        <v>0</v>
      </c>
      <c r="O44" s="268"/>
      <c r="P44" s="101" t="s">
        <v>80</v>
      </c>
      <c r="Q44" s="114"/>
      <c r="R44" s="137"/>
      <c r="S44" s="111"/>
      <c r="T44" s="116" t="str">
        <f>VLOOKUP(E44,{"简单","607";"中等","809";"复杂","1113"},2,0)</f>
        <v>1113</v>
      </c>
      <c r="U44" s="111"/>
      <c r="V44" s="116">
        <v>1.5</v>
      </c>
      <c r="W44" s="111"/>
      <c r="X44" s="117">
        <v>0.22</v>
      </c>
      <c r="Y44" s="111"/>
      <c r="Z44" s="130">
        <f t="shared" si="1"/>
        <v>-1113</v>
      </c>
      <c r="AA44" s="130">
        <f t="shared" si="2"/>
        <v>-1.5</v>
      </c>
      <c r="AB44" s="130">
        <f t="shared" si="3"/>
        <v>-0.22</v>
      </c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</row>
    <row r="45" spans="1:42" s="80" customFormat="1" ht="22.8" customHeight="1" x14ac:dyDescent="0.25">
      <c r="A45" s="72">
        <v>41</v>
      </c>
      <c r="B45" s="269"/>
      <c r="C45" s="72" t="s">
        <v>89</v>
      </c>
      <c r="D45" s="72"/>
      <c r="E45" s="72" t="s">
        <v>46</v>
      </c>
      <c r="F45" s="141" t="s">
        <v>77</v>
      </c>
      <c r="G45" s="140" t="s">
        <v>33</v>
      </c>
      <c r="H45" s="72"/>
      <c r="I45" s="72"/>
      <c r="J45" s="72"/>
      <c r="K45" s="73">
        <f t="shared" si="0"/>
        <v>0</v>
      </c>
      <c r="L45" s="140"/>
      <c r="M45" s="73">
        <f t="shared" si="13"/>
        <v>0</v>
      </c>
      <c r="N45" s="74">
        <f t="shared" si="14"/>
        <v>0</v>
      </c>
      <c r="O45" s="268"/>
      <c r="P45" s="101" t="s">
        <v>80</v>
      </c>
      <c r="Q45" s="114"/>
      <c r="R45" s="137"/>
      <c r="S45" s="111"/>
      <c r="T45" s="116" t="str">
        <f>VLOOKUP(E45,{"简单","785";"中等","1047";"复杂","1440"},2,0)</f>
        <v>1047</v>
      </c>
      <c r="U45" s="111"/>
      <c r="V45" s="116">
        <v>1.5</v>
      </c>
      <c r="W45" s="111"/>
      <c r="X45" s="117">
        <v>0.22</v>
      </c>
      <c r="Y45" s="111"/>
      <c r="Z45" s="130">
        <f t="shared" si="1"/>
        <v>-1047</v>
      </c>
      <c r="AA45" s="130">
        <f t="shared" si="2"/>
        <v>-1.5</v>
      </c>
      <c r="AB45" s="130">
        <f t="shared" si="3"/>
        <v>-0.22</v>
      </c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</row>
    <row r="46" spans="1:42" s="80" customFormat="1" ht="22.8" customHeight="1" x14ac:dyDescent="0.25">
      <c r="A46" s="72">
        <v>42</v>
      </c>
      <c r="B46" s="262" t="s">
        <v>357</v>
      </c>
      <c r="C46" s="142" t="s">
        <v>517</v>
      </c>
      <c r="D46" s="72"/>
      <c r="E46" s="72" t="s">
        <v>46</v>
      </c>
      <c r="F46" s="141" t="s">
        <v>63</v>
      </c>
      <c r="G46" s="140" t="s">
        <v>33</v>
      </c>
      <c r="H46" s="72"/>
      <c r="I46" s="72">
        <v>8</v>
      </c>
      <c r="J46" s="75"/>
      <c r="K46" s="73">
        <f t="shared" si="0"/>
        <v>0</v>
      </c>
      <c r="L46" s="140"/>
      <c r="M46" s="73">
        <f t="shared" si="13"/>
        <v>0</v>
      </c>
      <c r="N46" s="74">
        <f t="shared" si="14"/>
        <v>0</v>
      </c>
      <c r="O46" s="75" t="s">
        <v>92</v>
      </c>
      <c r="P46" s="102"/>
      <c r="Q46" s="115"/>
      <c r="R46" s="137"/>
      <c r="S46" s="111"/>
      <c r="T46" s="116" t="str">
        <f>VLOOKUP(E46,{"简单","1416";"中等","1700";"复杂","2337"},2,0)</f>
        <v>1700</v>
      </c>
      <c r="U46" s="111"/>
      <c r="V46" s="118">
        <v>1</v>
      </c>
      <c r="W46" s="111"/>
      <c r="X46" s="117">
        <v>0.22</v>
      </c>
      <c r="Y46" s="111"/>
      <c r="Z46" s="130">
        <f t="shared" si="1"/>
        <v>-1700</v>
      </c>
      <c r="AA46" s="130">
        <f t="shared" si="2"/>
        <v>-1</v>
      </c>
      <c r="AB46" s="130">
        <f t="shared" si="3"/>
        <v>-0.22</v>
      </c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</row>
    <row r="47" spans="1:42" s="80" customFormat="1" ht="22.8" customHeight="1" x14ac:dyDescent="0.25">
      <c r="A47" s="72">
        <v>43</v>
      </c>
      <c r="B47" s="262"/>
      <c r="C47" s="142" t="s">
        <v>93</v>
      </c>
      <c r="D47" s="72"/>
      <c r="E47" s="72" t="s">
        <v>46</v>
      </c>
      <c r="F47" s="141"/>
      <c r="G47" s="140" t="s">
        <v>394</v>
      </c>
      <c r="H47" s="72"/>
      <c r="I47" s="72"/>
      <c r="J47" s="75"/>
      <c r="K47" s="73">
        <f t="shared" si="0"/>
        <v>0</v>
      </c>
      <c r="L47" s="140"/>
      <c r="M47" s="73">
        <f t="shared" si="13"/>
        <v>0</v>
      </c>
      <c r="N47" s="74">
        <f t="shared" si="14"/>
        <v>0</v>
      </c>
      <c r="O47" s="75" t="s">
        <v>94</v>
      </c>
      <c r="P47" s="101" t="s">
        <v>95</v>
      </c>
      <c r="Q47" s="114"/>
      <c r="R47" s="137"/>
      <c r="S47" s="111"/>
      <c r="T47" s="116" t="str">
        <f>VLOOKUP(E47,{"简单","1";"中等","1.5";"复杂","2"},2,0)</f>
        <v>1.5</v>
      </c>
      <c r="U47" s="111"/>
      <c r="V47" s="118">
        <v>1</v>
      </c>
      <c r="W47" s="111" t="s">
        <v>95</v>
      </c>
      <c r="X47" s="117">
        <v>0.22</v>
      </c>
      <c r="Y47" s="111"/>
      <c r="Z47" s="130">
        <f t="shared" si="1"/>
        <v>-1.5</v>
      </c>
      <c r="AA47" s="130">
        <f t="shared" si="2"/>
        <v>-1</v>
      </c>
      <c r="AB47" s="130">
        <f t="shared" si="3"/>
        <v>-0.22</v>
      </c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</row>
    <row r="48" spans="1:42" s="80" customFormat="1" ht="22.8" customHeight="1" x14ac:dyDescent="0.25">
      <c r="A48" s="72">
        <v>44</v>
      </c>
      <c r="B48" s="263"/>
      <c r="C48" s="72" t="s">
        <v>518</v>
      </c>
      <c r="D48" s="72"/>
      <c r="E48" s="72" t="s">
        <v>46</v>
      </c>
      <c r="F48" s="141" t="s">
        <v>63</v>
      </c>
      <c r="G48" s="140" t="s">
        <v>33</v>
      </c>
      <c r="H48" s="161"/>
      <c r="I48" s="72">
        <v>8</v>
      </c>
      <c r="J48" s="75"/>
      <c r="K48" s="73">
        <f t="shared" si="0"/>
        <v>0</v>
      </c>
      <c r="L48" s="140"/>
      <c r="M48" s="73">
        <f t="shared" si="13"/>
        <v>0</v>
      </c>
      <c r="N48" s="74">
        <f t="shared" si="14"/>
        <v>0</v>
      </c>
      <c r="O48" s="75" t="s">
        <v>94</v>
      </c>
      <c r="P48" s="101"/>
      <c r="Q48" s="114"/>
      <c r="R48" s="137"/>
      <c r="S48" s="111"/>
      <c r="T48" s="119" t="str">
        <f>VLOOKUP(E48,{"简单","2250";"中等","4500";"复杂","7200"},2,0)</f>
        <v>4500</v>
      </c>
      <c r="U48" s="111"/>
      <c r="V48" s="118">
        <v>1</v>
      </c>
      <c r="W48" s="111"/>
      <c r="X48" s="117">
        <v>0.22</v>
      </c>
      <c r="Y48" s="111"/>
      <c r="Z48" s="130">
        <f t="shared" si="1"/>
        <v>-4500</v>
      </c>
      <c r="AA48" s="130">
        <f t="shared" si="2"/>
        <v>-1</v>
      </c>
      <c r="AB48" s="130">
        <f t="shared" si="3"/>
        <v>-0.22</v>
      </c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</row>
    <row r="49" spans="1:42" s="90" customFormat="1" ht="22.5" customHeight="1" x14ac:dyDescent="0.25">
      <c r="A49" s="64" t="s">
        <v>537</v>
      </c>
      <c r="B49" s="264" t="s">
        <v>538</v>
      </c>
      <c r="C49" s="265"/>
      <c r="D49" s="265"/>
      <c r="E49" s="265"/>
      <c r="F49" s="265"/>
      <c r="G49" s="265"/>
      <c r="H49" s="265"/>
      <c r="I49" s="265"/>
      <c r="J49" s="266"/>
      <c r="K49" s="180">
        <f>SUM(K5:K48)</f>
        <v>0</v>
      </c>
      <c r="L49" s="181"/>
      <c r="M49" s="180">
        <f>SUM(M5:M48)</f>
        <v>0</v>
      </c>
      <c r="N49" s="180">
        <f>SUM(N5:N48)</f>
        <v>0</v>
      </c>
      <c r="O49" s="160"/>
      <c r="P49" s="182"/>
      <c r="Q49" s="183"/>
      <c r="R49" s="188"/>
      <c r="S49" s="185"/>
      <c r="T49" s="184"/>
      <c r="U49" s="185"/>
      <c r="V49" s="185"/>
      <c r="W49" s="185"/>
      <c r="X49" s="186"/>
      <c r="Y49" s="185"/>
      <c r="Z49" s="187">
        <f t="shared" si="1"/>
        <v>0</v>
      </c>
      <c r="AA49" s="187">
        <f t="shared" si="2"/>
        <v>0</v>
      </c>
      <c r="AB49" s="187">
        <f t="shared" si="3"/>
        <v>0</v>
      </c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</row>
    <row r="50" spans="1:42" s="80" customFormat="1" ht="22.5" customHeight="1" x14ac:dyDescent="0.25">
      <c r="B50" s="90"/>
      <c r="F50" s="83"/>
      <c r="I50" s="84"/>
      <c r="K50" s="85"/>
      <c r="L50" s="85"/>
      <c r="M50" s="85"/>
      <c r="N50" s="85"/>
      <c r="P50" s="103"/>
      <c r="Q50" s="103"/>
      <c r="R50" s="100"/>
      <c r="S50" s="106"/>
      <c r="U50" s="106"/>
      <c r="W50" s="123" t="s">
        <v>499</v>
      </c>
      <c r="X50" s="85"/>
      <c r="Y50" s="106"/>
      <c r="Z50" s="97"/>
      <c r="AA50" s="97"/>
      <c r="AB50" s="97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</row>
    <row r="51" spans="1:42" s="80" customFormat="1" ht="22.5" customHeight="1" x14ac:dyDescent="0.25">
      <c r="B51" s="90"/>
      <c r="F51" s="83"/>
      <c r="I51" s="84"/>
      <c r="K51" s="85"/>
      <c r="L51" s="85"/>
      <c r="M51" s="85"/>
      <c r="N51" s="85"/>
      <c r="P51" s="103"/>
      <c r="Q51" s="103"/>
      <c r="R51" s="100"/>
      <c r="S51" s="106"/>
      <c r="U51" s="106"/>
      <c r="W51" s="106"/>
      <c r="X51" s="85"/>
      <c r="Y51" s="106"/>
      <c r="Z51" s="97"/>
      <c r="AA51" s="97"/>
      <c r="AB51" s="97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</row>
    <row r="52" spans="1:42" s="80" customFormat="1" ht="22.5" customHeight="1" x14ac:dyDescent="0.25">
      <c r="B52" s="90"/>
      <c r="F52" s="83"/>
      <c r="H52" s="103"/>
      <c r="I52" s="84"/>
      <c r="K52" s="103"/>
      <c r="L52" s="103"/>
      <c r="M52" s="103"/>
      <c r="N52" s="85"/>
      <c r="P52" s="103"/>
      <c r="Q52" s="103"/>
      <c r="S52" s="106"/>
      <c r="T52" s="104"/>
      <c r="U52" s="104"/>
      <c r="V52" s="108" t="s">
        <v>419</v>
      </c>
      <c r="W52" s="106"/>
      <c r="X52" s="108" t="s">
        <v>422</v>
      </c>
      <c r="Y52" s="106"/>
      <c r="Z52" s="97"/>
      <c r="AA52" s="97"/>
      <c r="AB52" s="97"/>
      <c r="AD52" s="100"/>
      <c r="AE52" s="100"/>
      <c r="AF52" s="100"/>
      <c r="AG52" s="100"/>
      <c r="AH52" s="100"/>
      <c r="AI52" s="100"/>
      <c r="AJ52" s="100"/>
      <c r="AK52" s="100"/>
      <c r="AM52" s="100"/>
      <c r="AN52" s="100"/>
      <c r="AO52" s="100"/>
      <c r="AP52" s="100"/>
    </row>
    <row r="53" spans="1:42" ht="22.5" customHeight="1" x14ac:dyDescent="0.25">
      <c r="H53" s="103"/>
      <c r="K53" s="103"/>
      <c r="L53" s="103"/>
      <c r="M53" s="103"/>
      <c r="N53" s="85"/>
      <c r="O53" s="80"/>
      <c r="T53" s="104"/>
      <c r="U53" s="104"/>
      <c r="V53" s="108" t="s">
        <v>426</v>
      </c>
      <c r="X53" s="108" t="s">
        <v>442</v>
      </c>
      <c r="Y53" s="106"/>
      <c r="Z53" s="97"/>
      <c r="AA53" s="97"/>
      <c r="AB53" s="97"/>
    </row>
    <row r="54" spans="1:42" ht="22.5" customHeight="1" x14ac:dyDescent="0.25">
      <c r="H54" s="103"/>
      <c r="K54" s="103"/>
      <c r="L54" s="103"/>
      <c r="M54" s="103"/>
      <c r="N54" s="85"/>
      <c r="O54" s="80"/>
      <c r="T54" s="104"/>
      <c r="U54" s="104"/>
      <c r="V54" s="108" t="s">
        <v>427</v>
      </c>
      <c r="X54" s="108"/>
      <c r="Y54" s="106"/>
      <c r="Z54" s="97"/>
      <c r="AA54" s="97"/>
      <c r="AB54" s="97"/>
    </row>
    <row r="55" spans="1:42" ht="22.5" customHeight="1" x14ac:dyDescent="0.25">
      <c r="H55" s="103"/>
      <c r="K55" s="103"/>
      <c r="L55" s="103"/>
      <c r="M55" s="103"/>
      <c r="N55" s="85"/>
      <c r="O55" s="80"/>
      <c r="T55" s="104"/>
      <c r="U55" s="104"/>
      <c r="V55" s="108"/>
      <c r="X55" s="108"/>
      <c r="Y55" s="106"/>
      <c r="Z55" s="97"/>
      <c r="AA55" s="97"/>
      <c r="AB55" s="97"/>
    </row>
    <row r="56" spans="1:42" ht="22.5" customHeight="1" x14ac:dyDescent="0.25">
      <c r="H56" s="103"/>
      <c r="K56" s="103"/>
      <c r="L56" s="103"/>
      <c r="M56" s="103"/>
      <c r="N56" s="85"/>
      <c r="O56" s="80"/>
      <c r="T56" s="104"/>
      <c r="U56" s="104"/>
      <c r="V56" s="108"/>
      <c r="X56" s="108"/>
      <c r="Z56" s="97"/>
      <c r="AA56" s="97"/>
      <c r="AB56" s="97"/>
    </row>
    <row r="57" spans="1:42" ht="22.5" customHeight="1" x14ac:dyDescent="0.25">
      <c r="H57" s="103"/>
      <c r="K57" s="103"/>
      <c r="L57" s="103"/>
      <c r="M57" s="103"/>
      <c r="N57" s="85"/>
      <c r="O57" s="80"/>
      <c r="T57" s="104"/>
      <c r="U57" s="104"/>
      <c r="V57" s="108"/>
      <c r="X57" s="108"/>
      <c r="Z57" s="97"/>
      <c r="AA57" s="97"/>
      <c r="AB57" s="97"/>
    </row>
    <row r="58" spans="1:42" ht="22.5" customHeight="1" x14ac:dyDescent="0.25">
      <c r="H58" s="103"/>
      <c r="K58" s="103"/>
      <c r="L58" s="103"/>
      <c r="M58" s="103"/>
      <c r="N58" s="85"/>
      <c r="O58" s="80"/>
      <c r="T58" s="104"/>
      <c r="U58" s="104"/>
      <c r="V58" s="108"/>
      <c r="X58" s="108"/>
      <c r="Z58" s="97"/>
      <c r="AA58" s="97"/>
      <c r="AB58" s="97"/>
    </row>
    <row r="59" spans="1:42" ht="22.5" customHeight="1" x14ac:dyDescent="0.25">
      <c r="H59" s="103"/>
      <c r="K59" s="103"/>
      <c r="L59" s="103"/>
      <c r="M59" s="103"/>
      <c r="N59" s="85"/>
      <c r="O59" s="80"/>
      <c r="T59" s="104"/>
      <c r="U59" s="104"/>
      <c r="V59" s="108" t="s">
        <v>424</v>
      </c>
      <c r="X59" s="108" t="s">
        <v>439</v>
      </c>
      <c r="Z59" s="97"/>
      <c r="AA59" s="97"/>
      <c r="AB59" s="97"/>
    </row>
    <row r="60" spans="1:42" ht="22.5" customHeight="1" x14ac:dyDescent="0.25">
      <c r="H60" s="103"/>
      <c r="K60" s="103"/>
      <c r="L60" s="103"/>
      <c r="M60" s="103"/>
      <c r="N60" s="85"/>
      <c r="O60" s="80"/>
      <c r="T60" s="80"/>
      <c r="X60" s="85"/>
      <c r="Z60" s="97"/>
      <c r="AA60" s="97"/>
      <c r="AB60" s="97"/>
    </row>
    <row r="61" spans="1:42" ht="22.5" customHeight="1" x14ac:dyDescent="0.25">
      <c r="H61" s="80"/>
      <c r="K61" s="85"/>
      <c r="L61" s="85"/>
      <c r="M61" s="85"/>
      <c r="N61" s="85"/>
      <c r="O61" s="80"/>
      <c r="T61" s="80"/>
      <c r="X61" s="85"/>
      <c r="Z61" s="97"/>
      <c r="AA61" s="97"/>
      <c r="AB61" s="97"/>
    </row>
    <row r="62" spans="1:42" ht="22.5" customHeight="1" x14ac:dyDescent="0.25">
      <c r="Z62" s="97"/>
      <c r="AA62" s="97"/>
      <c r="AB62" s="97"/>
    </row>
    <row r="63" spans="1:42" ht="22.5" customHeight="1" x14ac:dyDescent="0.25">
      <c r="Z63" s="97"/>
      <c r="AA63" s="97"/>
      <c r="AB63" s="97"/>
    </row>
    <row r="64" spans="1:42" ht="22.5" customHeight="1" x14ac:dyDescent="0.25">
      <c r="Z64" s="97"/>
      <c r="AA64" s="97"/>
      <c r="AB64" s="97"/>
    </row>
    <row r="65" spans="26:28" ht="22.5" customHeight="1" x14ac:dyDescent="0.25">
      <c r="Z65" s="97"/>
      <c r="AA65" s="97"/>
      <c r="AB65" s="97"/>
    </row>
    <row r="66" spans="26:28" ht="22.5" customHeight="1" x14ac:dyDescent="0.25">
      <c r="Z66" s="97"/>
      <c r="AA66" s="97"/>
      <c r="AB66" s="97"/>
    </row>
    <row r="67" spans="26:28" ht="22.5" customHeight="1" x14ac:dyDescent="0.25">
      <c r="Z67" s="97"/>
      <c r="AA67" s="97"/>
      <c r="AB67" s="97"/>
    </row>
    <row r="68" spans="26:28" ht="22.5" customHeight="1" x14ac:dyDescent="0.25">
      <c r="Z68" s="97"/>
      <c r="AA68" s="97"/>
      <c r="AB68" s="97"/>
    </row>
    <row r="69" spans="26:28" ht="22.5" customHeight="1" x14ac:dyDescent="0.25">
      <c r="Z69" s="97"/>
      <c r="AA69" s="97"/>
      <c r="AB69" s="97"/>
    </row>
    <row r="70" spans="26:28" ht="22.5" customHeight="1" x14ac:dyDescent="0.25">
      <c r="Z70" s="97"/>
      <c r="AA70" s="97"/>
      <c r="AB70" s="97"/>
    </row>
    <row r="71" spans="26:28" ht="22.5" customHeight="1" x14ac:dyDescent="0.25">
      <c r="Z71" s="97"/>
      <c r="AA71" s="97"/>
      <c r="AB71" s="97"/>
    </row>
    <row r="72" spans="26:28" ht="22.5" customHeight="1" x14ac:dyDescent="0.25">
      <c r="Z72" s="97"/>
      <c r="AA72" s="97"/>
      <c r="AB72" s="97"/>
    </row>
    <row r="73" spans="26:28" ht="22.5" customHeight="1" x14ac:dyDescent="0.25">
      <c r="Z73" s="97"/>
      <c r="AA73" s="97"/>
      <c r="AB73" s="97"/>
    </row>
    <row r="74" spans="26:28" ht="22.5" customHeight="1" x14ac:dyDescent="0.25">
      <c r="Z74" s="97"/>
      <c r="AA74" s="97"/>
      <c r="AB74" s="97"/>
    </row>
    <row r="75" spans="26:28" ht="22.5" customHeight="1" x14ac:dyDescent="0.25">
      <c r="Z75" s="97"/>
      <c r="AA75" s="97"/>
      <c r="AB75" s="97"/>
    </row>
    <row r="76" spans="26:28" ht="22.5" customHeight="1" x14ac:dyDescent="0.25">
      <c r="Z76" s="97"/>
      <c r="AA76" s="97"/>
      <c r="AB76" s="97"/>
    </row>
    <row r="77" spans="26:28" ht="22.5" customHeight="1" x14ac:dyDescent="0.25">
      <c r="Z77" s="97"/>
      <c r="AA77" s="97"/>
      <c r="AB77" s="97"/>
    </row>
    <row r="78" spans="26:28" ht="22.5" customHeight="1" x14ac:dyDescent="0.25">
      <c r="Z78" s="97"/>
      <c r="AA78" s="97"/>
      <c r="AB78" s="97"/>
    </row>
    <row r="79" spans="26:28" ht="22.5" customHeight="1" x14ac:dyDescent="0.25">
      <c r="Z79" s="97"/>
      <c r="AA79" s="97"/>
      <c r="AB79" s="97"/>
    </row>
    <row r="80" spans="26:28" ht="22.5" customHeight="1" x14ac:dyDescent="0.25">
      <c r="Z80" s="97"/>
      <c r="AA80" s="97"/>
      <c r="AB80" s="97"/>
    </row>
    <row r="81" spans="26:28" ht="22.5" customHeight="1" x14ac:dyDescent="0.25">
      <c r="Z81" s="97"/>
      <c r="AA81" s="97"/>
      <c r="AB81" s="97"/>
    </row>
    <row r="82" spans="26:28" ht="22.5" customHeight="1" x14ac:dyDescent="0.25">
      <c r="Z82" s="97"/>
      <c r="AA82" s="97"/>
      <c r="AB82" s="97"/>
    </row>
    <row r="83" spans="26:28" ht="22.5" customHeight="1" x14ac:dyDescent="0.25">
      <c r="Z83" s="97"/>
      <c r="AA83" s="97"/>
      <c r="AB83" s="97"/>
    </row>
    <row r="84" spans="26:28" ht="22.5" customHeight="1" x14ac:dyDescent="0.25">
      <c r="Z84" s="97"/>
      <c r="AA84" s="97"/>
      <c r="AB84" s="97"/>
    </row>
    <row r="85" spans="26:28" ht="22.5" customHeight="1" x14ac:dyDescent="0.25">
      <c r="Z85" s="97"/>
      <c r="AA85" s="97"/>
      <c r="AB85" s="97"/>
    </row>
    <row r="86" spans="26:28" ht="22.5" customHeight="1" x14ac:dyDescent="0.25">
      <c r="Z86" s="97"/>
      <c r="AA86" s="97"/>
      <c r="AB86" s="97"/>
    </row>
    <row r="87" spans="26:28" ht="22.5" customHeight="1" x14ac:dyDescent="0.25">
      <c r="Z87" s="97"/>
      <c r="AA87" s="97"/>
      <c r="AB87" s="97"/>
    </row>
    <row r="88" spans="26:28" ht="22.5" customHeight="1" x14ac:dyDescent="0.25">
      <c r="Z88" s="97"/>
      <c r="AA88" s="97"/>
      <c r="AB88" s="97"/>
    </row>
    <row r="89" spans="26:28" ht="22.5" customHeight="1" x14ac:dyDescent="0.25">
      <c r="Z89" s="97"/>
      <c r="AA89" s="97"/>
      <c r="AB89" s="97"/>
    </row>
    <row r="90" spans="26:28" ht="22.5" customHeight="1" x14ac:dyDescent="0.25">
      <c r="Z90" s="97"/>
      <c r="AA90" s="97"/>
      <c r="AB90" s="97"/>
    </row>
    <row r="91" spans="26:28" ht="22.5" customHeight="1" x14ac:dyDescent="0.25">
      <c r="Z91" s="97"/>
      <c r="AA91" s="97"/>
      <c r="AB91" s="97"/>
    </row>
    <row r="92" spans="26:28" ht="22.5" customHeight="1" x14ac:dyDescent="0.25">
      <c r="Z92" s="97"/>
      <c r="AA92" s="97"/>
      <c r="AB92" s="97"/>
    </row>
    <row r="93" spans="26:28" ht="22.5" customHeight="1" x14ac:dyDescent="0.25">
      <c r="Z93" s="97"/>
      <c r="AA93" s="97"/>
      <c r="AB93" s="97"/>
    </row>
    <row r="94" spans="26:28" ht="22.5" customHeight="1" x14ac:dyDescent="0.25">
      <c r="Z94" s="97"/>
      <c r="AA94" s="97"/>
      <c r="AB94" s="97"/>
    </row>
    <row r="95" spans="26:28" ht="22.5" customHeight="1" x14ac:dyDescent="0.25">
      <c r="Z95" s="97"/>
      <c r="AA95" s="97"/>
      <c r="AB95" s="97"/>
    </row>
    <row r="96" spans="26:28" ht="22.5" customHeight="1" x14ac:dyDescent="0.25">
      <c r="Z96" s="97"/>
      <c r="AA96" s="97"/>
      <c r="AB96" s="97"/>
    </row>
    <row r="97" spans="26:28" ht="22.5" customHeight="1" x14ac:dyDescent="0.25">
      <c r="Z97" s="97"/>
      <c r="AA97" s="97"/>
      <c r="AB97" s="97"/>
    </row>
    <row r="98" spans="26:28" ht="22.5" customHeight="1" x14ac:dyDescent="0.25">
      <c r="Z98" s="97"/>
      <c r="AA98" s="97"/>
      <c r="AB98" s="97"/>
    </row>
    <row r="99" spans="26:28" ht="22.5" customHeight="1" x14ac:dyDescent="0.25">
      <c r="Z99" s="97"/>
      <c r="AA99" s="97"/>
      <c r="AB99" s="97"/>
    </row>
    <row r="100" spans="26:28" ht="22.5" customHeight="1" x14ac:dyDescent="0.25">
      <c r="Z100" s="97"/>
      <c r="AA100" s="97"/>
      <c r="AB100" s="97"/>
    </row>
    <row r="101" spans="26:28" ht="22.5" customHeight="1" x14ac:dyDescent="0.25">
      <c r="Z101" s="97"/>
      <c r="AA101" s="97"/>
      <c r="AB101" s="97"/>
    </row>
    <row r="102" spans="26:28" ht="22.5" customHeight="1" x14ac:dyDescent="0.25">
      <c r="Z102" s="97"/>
      <c r="AA102" s="97"/>
      <c r="AB102" s="97"/>
    </row>
    <row r="103" spans="26:28" ht="22.5" customHeight="1" x14ac:dyDescent="0.25">
      <c r="Z103" s="97"/>
      <c r="AA103" s="97"/>
      <c r="AB103" s="97"/>
    </row>
    <row r="104" spans="26:28" ht="22.5" customHeight="1" x14ac:dyDescent="0.25">
      <c r="Z104" s="97"/>
      <c r="AA104" s="97"/>
      <c r="AB104" s="97"/>
    </row>
    <row r="105" spans="26:28" ht="22.5" customHeight="1" x14ac:dyDescent="0.25">
      <c r="Z105" s="97"/>
      <c r="AA105" s="97"/>
      <c r="AB105" s="97"/>
    </row>
    <row r="106" spans="26:28" ht="22.5" customHeight="1" x14ac:dyDescent="0.25">
      <c r="Z106" s="97"/>
      <c r="AA106" s="97"/>
      <c r="AB106" s="97"/>
    </row>
    <row r="107" spans="26:28" ht="22.5" customHeight="1" x14ac:dyDescent="0.25">
      <c r="Z107" s="97"/>
      <c r="AA107" s="97"/>
      <c r="AB107" s="97"/>
    </row>
    <row r="108" spans="26:28" ht="22.5" customHeight="1" x14ac:dyDescent="0.25">
      <c r="Z108" s="97"/>
      <c r="AA108" s="97"/>
      <c r="AB108" s="97"/>
    </row>
    <row r="109" spans="26:28" ht="22.5" customHeight="1" x14ac:dyDescent="0.25">
      <c r="Z109" s="97"/>
      <c r="AA109" s="97"/>
      <c r="AB109" s="97"/>
    </row>
    <row r="110" spans="26:28" ht="22.5" customHeight="1" x14ac:dyDescent="0.25">
      <c r="Z110" s="97"/>
      <c r="AA110" s="97"/>
      <c r="AB110" s="97"/>
    </row>
    <row r="111" spans="26:28" ht="22.5" customHeight="1" x14ac:dyDescent="0.25">
      <c r="Z111" s="97"/>
      <c r="AA111" s="97"/>
      <c r="AB111" s="97"/>
    </row>
    <row r="112" spans="26:28" ht="22.5" customHeight="1" x14ac:dyDescent="0.25">
      <c r="Z112" s="97"/>
      <c r="AA112" s="97"/>
      <c r="AB112" s="97"/>
    </row>
    <row r="113" spans="26:28" ht="22.5" customHeight="1" x14ac:dyDescent="0.25">
      <c r="Z113" s="97"/>
      <c r="AA113" s="97"/>
      <c r="AB113" s="97"/>
    </row>
    <row r="114" spans="26:28" ht="22.5" customHeight="1" x14ac:dyDescent="0.25">
      <c r="Z114" s="97"/>
      <c r="AA114" s="97"/>
      <c r="AB114" s="97"/>
    </row>
    <row r="115" spans="26:28" ht="22.5" customHeight="1" x14ac:dyDescent="0.25">
      <c r="Z115" s="97"/>
      <c r="AA115" s="97"/>
      <c r="AB115" s="97"/>
    </row>
    <row r="116" spans="26:28" ht="22.5" customHeight="1" x14ac:dyDescent="0.25">
      <c r="Z116" s="97"/>
      <c r="AA116" s="97"/>
      <c r="AB116" s="97"/>
    </row>
    <row r="117" spans="26:28" ht="22.5" customHeight="1" x14ac:dyDescent="0.25">
      <c r="Z117" s="97"/>
      <c r="AA117" s="97"/>
      <c r="AB117" s="97"/>
    </row>
    <row r="118" spans="26:28" ht="22.5" customHeight="1" x14ac:dyDescent="0.25">
      <c r="Z118" s="97"/>
      <c r="AA118" s="97"/>
      <c r="AB118" s="97"/>
    </row>
    <row r="119" spans="26:28" ht="22.5" customHeight="1" x14ac:dyDescent="0.25">
      <c r="Z119" s="97"/>
      <c r="AA119" s="97"/>
      <c r="AB119" s="97"/>
    </row>
    <row r="120" spans="26:28" ht="22.5" customHeight="1" x14ac:dyDescent="0.25">
      <c r="Z120" s="97"/>
      <c r="AA120" s="97"/>
      <c r="AB120" s="97"/>
    </row>
    <row r="121" spans="26:28" ht="22.5" customHeight="1" x14ac:dyDescent="0.25">
      <c r="Z121" s="97"/>
      <c r="AA121" s="97"/>
      <c r="AB121" s="97"/>
    </row>
    <row r="122" spans="26:28" ht="22.5" customHeight="1" x14ac:dyDescent="0.25">
      <c r="Z122" s="97"/>
      <c r="AA122" s="97"/>
      <c r="AB122" s="97"/>
    </row>
    <row r="123" spans="26:28" ht="22.5" customHeight="1" x14ac:dyDescent="0.25">
      <c r="Z123" s="97"/>
      <c r="AA123" s="97"/>
      <c r="AB123" s="97"/>
    </row>
    <row r="124" spans="26:28" ht="22.5" customHeight="1" x14ac:dyDescent="0.25">
      <c r="Z124" s="97"/>
      <c r="AA124" s="97"/>
      <c r="AB124" s="97"/>
    </row>
    <row r="125" spans="26:28" ht="22.5" customHeight="1" x14ac:dyDescent="0.25">
      <c r="Z125" s="97"/>
      <c r="AA125" s="97"/>
      <c r="AB125" s="97"/>
    </row>
    <row r="126" spans="26:28" ht="22.5" customHeight="1" x14ac:dyDescent="0.25">
      <c r="Z126" s="97"/>
      <c r="AA126" s="97"/>
      <c r="AB126" s="97"/>
    </row>
    <row r="127" spans="26:28" ht="22.5" customHeight="1" x14ac:dyDescent="0.25">
      <c r="Z127" s="97"/>
      <c r="AA127" s="97"/>
      <c r="AB127" s="97"/>
    </row>
    <row r="128" spans="26:28" ht="22.5" customHeight="1" x14ac:dyDescent="0.25">
      <c r="Z128" s="97"/>
      <c r="AA128" s="97"/>
      <c r="AB128" s="97"/>
    </row>
    <row r="129" spans="26:28" ht="22.5" customHeight="1" x14ac:dyDescent="0.25">
      <c r="Z129" s="97"/>
      <c r="AA129" s="97"/>
      <c r="AB129" s="97"/>
    </row>
    <row r="130" spans="26:28" ht="22.5" customHeight="1" x14ac:dyDescent="0.25">
      <c r="Z130" s="97"/>
      <c r="AA130" s="97"/>
      <c r="AB130" s="97"/>
    </row>
    <row r="131" spans="26:28" ht="22.5" customHeight="1" x14ac:dyDescent="0.25">
      <c r="Z131" s="97"/>
      <c r="AA131" s="97"/>
      <c r="AB131" s="97"/>
    </row>
    <row r="132" spans="26:28" ht="22.5" customHeight="1" x14ac:dyDescent="0.25">
      <c r="Z132" s="97"/>
      <c r="AA132" s="97"/>
      <c r="AB132" s="97"/>
    </row>
    <row r="133" spans="26:28" ht="22.5" customHeight="1" x14ac:dyDescent="0.25">
      <c r="Z133" s="97"/>
      <c r="AA133" s="97"/>
      <c r="AB133" s="97"/>
    </row>
    <row r="134" spans="26:28" ht="22.5" customHeight="1" x14ac:dyDescent="0.25">
      <c r="Z134" s="97"/>
      <c r="AA134" s="97"/>
      <c r="AB134" s="97"/>
    </row>
    <row r="135" spans="26:28" ht="22.5" customHeight="1" x14ac:dyDescent="0.25">
      <c r="Z135" s="97"/>
      <c r="AA135" s="97"/>
      <c r="AB135" s="97"/>
    </row>
    <row r="136" spans="26:28" ht="22.5" customHeight="1" x14ac:dyDescent="0.25">
      <c r="Z136" s="97"/>
      <c r="AA136" s="97"/>
      <c r="AB136" s="97"/>
    </row>
    <row r="137" spans="26:28" ht="22.5" customHeight="1" x14ac:dyDescent="0.25">
      <c r="Z137" s="97"/>
      <c r="AA137" s="97"/>
      <c r="AB137" s="97"/>
    </row>
    <row r="138" spans="26:28" ht="22.5" customHeight="1" x14ac:dyDescent="0.25">
      <c r="Z138" s="97"/>
      <c r="AA138" s="97"/>
      <c r="AB138" s="97"/>
    </row>
    <row r="139" spans="26:28" ht="22.5" customHeight="1" x14ac:dyDescent="0.25">
      <c r="Z139" s="97"/>
      <c r="AA139" s="97"/>
      <c r="AB139" s="97"/>
    </row>
    <row r="140" spans="26:28" ht="22.5" customHeight="1" x14ac:dyDescent="0.25">
      <c r="Z140" s="97"/>
      <c r="AA140" s="97"/>
      <c r="AB140" s="97"/>
    </row>
    <row r="141" spans="26:28" ht="22.5" customHeight="1" x14ac:dyDescent="0.25">
      <c r="Z141" s="97"/>
      <c r="AA141" s="97"/>
      <c r="AB141" s="97"/>
    </row>
    <row r="142" spans="26:28" ht="22.5" customHeight="1" x14ac:dyDescent="0.25">
      <c r="Z142" s="97"/>
      <c r="AA142" s="97"/>
      <c r="AB142" s="97"/>
    </row>
    <row r="143" spans="26:28" ht="22.5" customHeight="1" x14ac:dyDescent="0.25">
      <c r="Z143" s="97"/>
      <c r="AA143" s="97"/>
      <c r="AB143" s="97"/>
    </row>
    <row r="144" spans="26:28" ht="22.5" customHeight="1" x14ac:dyDescent="0.25">
      <c r="Z144" s="97"/>
      <c r="AA144" s="97"/>
      <c r="AB144" s="97"/>
    </row>
    <row r="145" spans="26:28" ht="22.5" customHeight="1" x14ac:dyDescent="0.25">
      <c r="Z145" s="97"/>
      <c r="AA145" s="97"/>
      <c r="AB145" s="97"/>
    </row>
    <row r="146" spans="26:28" ht="22.5" customHeight="1" x14ac:dyDescent="0.25">
      <c r="Z146" s="97"/>
      <c r="AA146" s="97"/>
      <c r="AB146" s="97"/>
    </row>
    <row r="147" spans="26:28" ht="22.5" customHeight="1" x14ac:dyDescent="0.25">
      <c r="Z147" s="97"/>
      <c r="AA147" s="97"/>
      <c r="AB147" s="97"/>
    </row>
    <row r="148" spans="26:28" ht="22.5" customHeight="1" x14ac:dyDescent="0.25">
      <c r="Z148" s="97"/>
      <c r="AA148" s="97"/>
      <c r="AB148" s="97"/>
    </row>
    <row r="149" spans="26:28" ht="22.5" customHeight="1" x14ac:dyDescent="0.25">
      <c r="Z149" s="97"/>
      <c r="AA149" s="97"/>
      <c r="AB149" s="97"/>
    </row>
    <row r="150" spans="26:28" ht="22.5" customHeight="1" x14ac:dyDescent="0.25">
      <c r="Z150" s="97"/>
      <c r="AA150" s="97"/>
      <c r="AB150" s="97"/>
    </row>
    <row r="151" spans="26:28" ht="22.5" customHeight="1" x14ac:dyDescent="0.25">
      <c r="Z151" s="97"/>
      <c r="AA151" s="97"/>
      <c r="AB151" s="97"/>
    </row>
    <row r="152" spans="26:28" ht="22.5" customHeight="1" x14ac:dyDescent="0.25">
      <c r="Z152" s="97"/>
      <c r="AA152" s="97"/>
      <c r="AB152" s="97"/>
    </row>
    <row r="153" spans="26:28" ht="22.5" customHeight="1" x14ac:dyDescent="0.25">
      <c r="Z153" s="97"/>
      <c r="AA153" s="97"/>
      <c r="AB153" s="97"/>
    </row>
    <row r="154" spans="26:28" ht="22.5" customHeight="1" x14ac:dyDescent="0.25">
      <c r="Z154" s="97"/>
      <c r="AA154" s="97"/>
      <c r="AB154" s="97"/>
    </row>
    <row r="155" spans="26:28" ht="22.5" customHeight="1" x14ac:dyDescent="0.25">
      <c r="Z155" s="97"/>
      <c r="AA155" s="97"/>
      <c r="AB155" s="97"/>
    </row>
    <row r="156" spans="26:28" ht="22.5" customHeight="1" x14ac:dyDescent="0.25">
      <c r="Z156" s="97"/>
      <c r="AA156" s="97"/>
      <c r="AB156" s="97"/>
    </row>
    <row r="157" spans="26:28" ht="22.5" customHeight="1" x14ac:dyDescent="0.25">
      <c r="Z157" s="97"/>
      <c r="AA157" s="97"/>
      <c r="AB157" s="97"/>
    </row>
    <row r="158" spans="26:28" ht="22.5" customHeight="1" x14ac:dyDescent="0.25">
      <c r="Z158" s="97"/>
      <c r="AA158" s="97"/>
      <c r="AB158" s="97"/>
    </row>
    <row r="159" spans="26:28" ht="22.5" customHeight="1" x14ac:dyDescent="0.25">
      <c r="Z159" s="97"/>
      <c r="AA159" s="97"/>
      <c r="AB159" s="97"/>
    </row>
    <row r="160" spans="26:28" ht="22.5" customHeight="1" x14ac:dyDescent="0.25">
      <c r="Z160" s="97"/>
      <c r="AA160" s="97"/>
      <c r="AB160" s="97"/>
    </row>
    <row r="161" spans="26:28" ht="22.5" customHeight="1" x14ac:dyDescent="0.25">
      <c r="Z161" s="97"/>
      <c r="AA161" s="97"/>
      <c r="AB161" s="97"/>
    </row>
    <row r="162" spans="26:28" ht="22.5" customHeight="1" x14ac:dyDescent="0.25">
      <c r="Z162" s="97"/>
      <c r="AA162" s="97"/>
      <c r="AB162" s="97"/>
    </row>
    <row r="163" spans="26:28" ht="22.5" customHeight="1" x14ac:dyDescent="0.25">
      <c r="Z163" s="97"/>
      <c r="AA163" s="97"/>
      <c r="AB163" s="97"/>
    </row>
    <row r="164" spans="26:28" ht="22.5" customHeight="1" x14ac:dyDescent="0.25">
      <c r="Z164" s="97"/>
      <c r="AA164" s="97"/>
      <c r="AB164" s="97"/>
    </row>
    <row r="165" spans="26:28" ht="22.5" customHeight="1" x14ac:dyDescent="0.25">
      <c r="Z165" s="97"/>
      <c r="AA165" s="97"/>
      <c r="AB165" s="97"/>
    </row>
    <row r="166" spans="26:28" ht="22.5" customHeight="1" x14ac:dyDescent="0.25">
      <c r="Z166" s="97"/>
      <c r="AA166" s="97"/>
      <c r="AB166" s="97"/>
    </row>
    <row r="167" spans="26:28" ht="22.5" customHeight="1" x14ac:dyDescent="0.25">
      <c r="Z167" s="97"/>
      <c r="AA167" s="97"/>
      <c r="AB167" s="97"/>
    </row>
    <row r="168" spans="26:28" ht="22.5" customHeight="1" x14ac:dyDescent="0.25">
      <c r="Z168" s="97"/>
      <c r="AA168" s="97"/>
      <c r="AB168" s="97"/>
    </row>
    <row r="169" spans="26:28" ht="22.5" customHeight="1" x14ac:dyDescent="0.25">
      <c r="Z169" s="97"/>
      <c r="AA169" s="97"/>
      <c r="AB169" s="97"/>
    </row>
    <row r="170" spans="26:28" ht="22.5" customHeight="1" x14ac:dyDescent="0.25">
      <c r="Z170" s="97"/>
      <c r="AA170" s="97"/>
      <c r="AB170" s="97"/>
    </row>
    <row r="171" spans="26:28" ht="22.5" customHeight="1" x14ac:dyDescent="0.25">
      <c r="Z171" s="97"/>
      <c r="AA171" s="97"/>
      <c r="AB171" s="97"/>
    </row>
    <row r="172" spans="26:28" ht="22.5" customHeight="1" x14ac:dyDescent="0.25">
      <c r="Z172" s="97"/>
      <c r="AA172" s="97"/>
      <c r="AB172" s="97"/>
    </row>
    <row r="173" spans="26:28" ht="22.5" customHeight="1" x14ac:dyDescent="0.25">
      <c r="Z173" s="97"/>
      <c r="AA173" s="97"/>
      <c r="AB173" s="97"/>
    </row>
    <row r="174" spans="26:28" ht="22.5" customHeight="1" x14ac:dyDescent="0.25">
      <c r="Z174" s="97"/>
      <c r="AA174" s="97"/>
      <c r="AB174" s="97"/>
    </row>
    <row r="175" spans="26:28" ht="22.5" customHeight="1" x14ac:dyDescent="0.25">
      <c r="Z175" s="97"/>
      <c r="AA175" s="97"/>
      <c r="AB175" s="97"/>
    </row>
    <row r="176" spans="26:28" ht="22.5" customHeight="1" x14ac:dyDescent="0.25">
      <c r="Z176" s="97"/>
      <c r="AA176" s="97"/>
      <c r="AB176" s="97"/>
    </row>
    <row r="177" spans="26:28" ht="22.5" customHeight="1" x14ac:dyDescent="0.25">
      <c r="Z177" s="97"/>
      <c r="AA177" s="97"/>
      <c r="AB177" s="97"/>
    </row>
    <row r="178" spans="26:28" ht="22.5" customHeight="1" x14ac:dyDescent="0.25">
      <c r="Z178" s="97"/>
      <c r="AA178" s="97"/>
      <c r="AB178" s="97"/>
    </row>
    <row r="179" spans="26:28" ht="22.5" customHeight="1" x14ac:dyDescent="0.25">
      <c r="Z179" s="97"/>
      <c r="AA179" s="97"/>
      <c r="AB179" s="97"/>
    </row>
    <row r="180" spans="26:28" ht="22.5" customHeight="1" x14ac:dyDescent="0.25">
      <c r="Z180" s="97"/>
      <c r="AA180" s="97"/>
      <c r="AB180" s="97"/>
    </row>
    <row r="181" spans="26:28" ht="22.5" customHeight="1" x14ac:dyDescent="0.25">
      <c r="Z181" s="97"/>
      <c r="AA181" s="97"/>
      <c r="AB181" s="97"/>
    </row>
    <row r="182" spans="26:28" ht="22.5" customHeight="1" x14ac:dyDescent="0.25">
      <c r="Z182" s="97"/>
      <c r="AA182" s="97"/>
      <c r="AB182" s="97"/>
    </row>
    <row r="183" spans="26:28" ht="22.5" customHeight="1" x14ac:dyDescent="0.25">
      <c r="Z183" s="97"/>
      <c r="AA183" s="97"/>
      <c r="AB183" s="97"/>
    </row>
    <row r="184" spans="26:28" ht="22.5" customHeight="1" x14ac:dyDescent="0.25">
      <c r="Z184" s="97"/>
      <c r="AA184" s="97"/>
      <c r="AB184" s="97"/>
    </row>
    <row r="185" spans="26:28" ht="22.5" customHeight="1" x14ac:dyDescent="0.25">
      <c r="Z185" s="97"/>
      <c r="AA185" s="97"/>
      <c r="AB185" s="97"/>
    </row>
    <row r="186" spans="26:28" ht="22.5" customHeight="1" x14ac:dyDescent="0.25">
      <c r="Z186" s="97"/>
      <c r="AA186" s="97"/>
      <c r="AB186" s="97"/>
    </row>
    <row r="187" spans="26:28" ht="22.5" customHeight="1" x14ac:dyDescent="0.25">
      <c r="Z187" s="97"/>
      <c r="AA187" s="97"/>
      <c r="AB187" s="97"/>
    </row>
    <row r="188" spans="26:28" ht="22.5" customHeight="1" x14ac:dyDescent="0.25">
      <c r="Z188" s="97"/>
      <c r="AA188" s="97"/>
      <c r="AB188" s="97"/>
    </row>
    <row r="189" spans="26:28" ht="22.5" customHeight="1" x14ac:dyDescent="0.25">
      <c r="Z189" s="97"/>
      <c r="AA189" s="97"/>
      <c r="AB189" s="97"/>
    </row>
    <row r="190" spans="26:28" ht="22.5" customHeight="1" x14ac:dyDescent="0.25">
      <c r="Z190" s="97"/>
      <c r="AA190" s="97"/>
      <c r="AB190" s="97"/>
    </row>
    <row r="191" spans="26:28" ht="22.5" customHeight="1" x14ac:dyDescent="0.25">
      <c r="Z191" s="97"/>
      <c r="AA191" s="97"/>
      <c r="AB191" s="97"/>
    </row>
    <row r="192" spans="26:28" ht="22.5" customHeight="1" x14ac:dyDescent="0.25">
      <c r="Z192" s="97"/>
      <c r="AA192" s="97"/>
      <c r="AB192" s="97"/>
    </row>
    <row r="193" spans="26:28" ht="22.5" customHeight="1" x14ac:dyDescent="0.25">
      <c r="Z193" s="97"/>
      <c r="AA193" s="97"/>
      <c r="AB193" s="97"/>
    </row>
    <row r="194" spans="26:28" ht="22.5" customHeight="1" x14ac:dyDescent="0.25">
      <c r="Z194" s="97"/>
      <c r="AA194" s="97"/>
      <c r="AB194" s="97"/>
    </row>
    <row r="195" spans="26:28" ht="22.5" customHeight="1" x14ac:dyDescent="0.25">
      <c r="Z195" s="97"/>
      <c r="AA195" s="97"/>
      <c r="AB195" s="97"/>
    </row>
    <row r="196" spans="26:28" ht="22.5" customHeight="1" x14ac:dyDescent="0.25">
      <c r="Z196" s="97"/>
      <c r="AA196" s="97"/>
      <c r="AB196" s="97"/>
    </row>
    <row r="197" spans="26:28" ht="22.5" customHeight="1" x14ac:dyDescent="0.25">
      <c r="Z197" s="97"/>
      <c r="AA197" s="97"/>
      <c r="AB197" s="97"/>
    </row>
    <row r="198" spans="26:28" ht="22.5" customHeight="1" x14ac:dyDescent="0.25">
      <c r="Z198" s="97"/>
      <c r="AA198" s="97"/>
      <c r="AB198" s="97"/>
    </row>
    <row r="199" spans="26:28" ht="22.5" customHeight="1" x14ac:dyDescent="0.25">
      <c r="Z199" s="97"/>
      <c r="AA199" s="97"/>
      <c r="AB199" s="97"/>
    </row>
    <row r="200" spans="26:28" ht="22.5" customHeight="1" x14ac:dyDescent="0.25">
      <c r="Z200" s="97"/>
      <c r="AA200" s="97"/>
      <c r="AB200" s="97"/>
    </row>
    <row r="201" spans="26:28" ht="22.5" customHeight="1" x14ac:dyDescent="0.25">
      <c r="Z201" s="97"/>
      <c r="AA201" s="97"/>
      <c r="AB201" s="97"/>
    </row>
    <row r="202" spans="26:28" ht="22.5" customHeight="1" x14ac:dyDescent="0.25">
      <c r="Z202" s="97"/>
      <c r="AA202" s="97"/>
      <c r="AB202" s="97"/>
    </row>
    <row r="203" spans="26:28" ht="22.5" customHeight="1" x14ac:dyDescent="0.25">
      <c r="Z203" s="97"/>
      <c r="AA203" s="97"/>
      <c r="AB203" s="97"/>
    </row>
    <row r="204" spans="26:28" ht="22.5" customHeight="1" x14ac:dyDescent="0.25">
      <c r="Z204" s="97"/>
      <c r="AA204" s="97"/>
      <c r="AB204" s="97"/>
    </row>
    <row r="205" spans="26:28" ht="22.5" customHeight="1" x14ac:dyDescent="0.25">
      <c r="Z205" s="97"/>
      <c r="AA205" s="97"/>
      <c r="AB205" s="97"/>
    </row>
    <row r="206" spans="26:28" ht="22.5" customHeight="1" x14ac:dyDescent="0.25">
      <c r="Z206" s="97"/>
      <c r="AA206" s="97"/>
      <c r="AB206" s="97"/>
    </row>
    <row r="207" spans="26:28" ht="22.5" customHeight="1" x14ac:dyDescent="0.25">
      <c r="Z207" s="97"/>
      <c r="AA207" s="97"/>
      <c r="AB207" s="97"/>
    </row>
    <row r="208" spans="26:28" ht="22.5" customHeight="1" x14ac:dyDescent="0.25">
      <c r="Z208" s="97"/>
      <c r="AA208" s="97"/>
      <c r="AB208" s="97"/>
    </row>
    <row r="209" spans="26:28" ht="22.5" customHeight="1" x14ac:dyDescent="0.25">
      <c r="Z209" s="96"/>
      <c r="AA209" s="96"/>
      <c r="AB209" s="96"/>
    </row>
    <row r="210" spans="26:28" ht="22.5" customHeight="1" x14ac:dyDescent="0.25">
      <c r="Z210" s="96"/>
      <c r="AA210" s="96"/>
      <c r="AB210" s="96"/>
    </row>
  </sheetData>
  <autoFilter ref="A3:AP50" xr:uid="{00000000-0001-0000-0200-000000000000}"/>
  <mergeCells count="18">
    <mergeCell ref="A2:A3"/>
    <mergeCell ref="B5:B15"/>
    <mergeCell ref="B16:B21"/>
    <mergeCell ref="B23:B37"/>
    <mergeCell ref="B38:B45"/>
    <mergeCell ref="B46:B48"/>
    <mergeCell ref="B49:J49"/>
    <mergeCell ref="O29:O41"/>
    <mergeCell ref="O43:O45"/>
    <mergeCell ref="P2:P3"/>
    <mergeCell ref="B2:G2"/>
    <mergeCell ref="H2:K2"/>
    <mergeCell ref="L2:M2"/>
    <mergeCell ref="N2:N3"/>
    <mergeCell ref="O2:O3"/>
    <mergeCell ref="O5:O15"/>
    <mergeCell ref="O16:O21"/>
    <mergeCell ref="O23:O27"/>
  </mergeCells>
  <phoneticPr fontId="9" type="noConversion"/>
  <conditionalFormatting sqref="Z1:AB1048576">
    <cfRule type="cellIs" dxfId="2" priority="1" operator="equal">
      <formula>0</formula>
    </cfRule>
  </conditionalFormatting>
  <dataValidations count="5">
    <dataValidation type="list" allowBlank="1" showInputMessage="1" showErrorMessage="1" sqref="D11:E11" xr:uid="{00000000-0002-0000-0200-000000000000}">
      <formula1>"GPS测量C级,GPS测量D级,GPS测量E级,三角（边）"</formula1>
    </dataValidation>
    <dataValidation type="list" allowBlank="1" showInputMessage="1" showErrorMessage="1" sqref="F22" xr:uid="{00000000-0002-0000-0200-000001000000}">
      <formula1>"1:10000,1:50000"</formula1>
    </dataValidation>
    <dataValidation type="list" allowBlank="1" showInputMessage="1" showErrorMessage="1" sqref="D48:E48" xr:uid="{00000000-0002-0000-0200-000002000000}">
      <formula1>"简单,中等,复杂"</formula1>
    </dataValidation>
    <dataValidation type="list" allowBlank="1" showInputMessage="1" showErrorMessage="1" sqref="D5:E10 D12:E15" xr:uid="{00000000-0002-0000-0200-000003000000}">
      <formula1>"GPS测量C级,GPS测量D级,GPS测量E级,三角（边）一级"</formula1>
    </dataValidation>
    <dataValidation type="list" allowBlank="1" showInputMessage="1" showErrorMessage="1" sqref="D17:E47 F5:F15" xr:uid="{00000000-0002-0000-0200-000004000000}">
      <formula1>"Ⅰ类,Ⅱ类,Ⅲ类,简单,中等,复杂"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0.59999389629810485"/>
    <outlinePr summaryBelow="0" summaryRight="0"/>
  </sheetPr>
  <dimension ref="A1:AU209"/>
  <sheetViews>
    <sheetView zoomScale="85" zoomScaleNormal="85" workbookViewId="0">
      <pane xSplit="7" ySplit="3" topLeftCell="H4" activePane="bottomRight" state="frozen"/>
      <selection sqref="A1:R1"/>
      <selection pane="topRight" sqref="A1:R1"/>
      <selection pane="bottomLeft" sqref="A1:R1"/>
      <selection pane="bottomRight" activeCell="F5" sqref="F5"/>
    </sheetView>
  </sheetViews>
  <sheetFormatPr defaultColWidth="9.88671875" defaultRowHeight="22.5" customHeight="1" outlineLevelRow="1" outlineLevelCol="2" x14ac:dyDescent="0.25"/>
  <cols>
    <col min="1" max="1" width="9.88671875" style="2"/>
    <col min="2" max="2" width="9.88671875" style="92"/>
    <col min="3" max="4" width="9.88671875" style="2"/>
    <col min="5" max="5" width="9.88671875" style="3"/>
    <col min="6" max="7" width="9.88671875" style="2"/>
    <col min="8" max="8" width="9.88671875" style="4"/>
    <col min="9" max="9" width="9.88671875" style="2" collapsed="1"/>
    <col min="10" max="11" width="9.88671875" style="2" hidden="1" customWidth="1" outlineLevel="1"/>
    <col min="12" max="12" width="9.88671875" style="2" hidden="1" customWidth="1" outlineLevel="1" collapsed="1"/>
    <col min="13" max="13" width="9.88671875" style="6"/>
    <col min="14" max="14" width="9.88671875" style="7" customWidth="1" outlineLevel="1"/>
    <col min="15" max="15" width="9.88671875" style="2"/>
    <col min="16" max="16" width="9.88671875" style="8"/>
    <col min="17" max="17" width="9.88671875" style="9" customWidth="1" outlineLevel="1"/>
    <col min="18" max="18" width="9.88671875" style="9"/>
    <col min="19" max="20" width="9.88671875" style="2"/>
    <col min="21" max="21" width="9.88671875" style="104"/>
    <col min="22" max="22" width="9.88671875" style="1" collapsed="1"/>
    <col min="23" max="23" width="9.88671875" style="152" hidden="1" customWidth="1" outlineLevel="2"/>
    <col min="24" max="24" width="0" style="65" hidden="1" customWidth="1" outlineLevel="1" collapsed="1"/>
    <col min="25" max="25" width="0" style="105" hidden="1" customWidth="1" outlineLevel="2"/>
    <col min="26" max="26" width="0" style="65" hidden="1" customWidth="1" outlineLevel="1" collapsed="1"/>
    <col min="27" max="27" width="0" style="105" hidden="1" customWidth="1" outlineLevel="2"/>
    <col min="28" max="28" width="0" style="79" hidden="1" customWidth="1" outlineLevel="1" collapsed="1"/>
    <col min="29" max="29" width="0" style="105" hidden="1" customWidth="1" outlineLevel="2"/>
    <col min="30" max="30" width="0" style="95" hidden="1" customWidth="1" outlineLevel="1" collapsed="1"/>
    <col min="31" max="32" width="0" style="95" hidden="1" customWidth="1" outlineLevel="2"/>
    <col min="33" max="35" width="0" style="98" hidden="1" customWidth="1" outlineLevel="2"/>
    <col min="36" max="36" width="0" style="98" hidden="1" customWidth="1" outlineLevel="1" collapsed="1"/>
    <col min="37" max="37" width="0" style="98" hidden="1" customWidth="1" outlineLevel="2"/>
    <col min="38" max="41" width="0" style="95" hidden="1" customWidth="1" outlineLevel="2"/>
    <col min="42" max="42" width="0" style="1" hidden="1" customWidth="1" outlineLevel="1" collapsed="1"/>
    <col min="43" max="46" width="0" style="1" hidden="1" customWidth="1" outlineLevel="2"/>
    <col min="47" max="47" width="0" style="1" hidden="1" customWidth="1" outlineLevel="1"/>
    <col min="48" max="16384" width="9.88671875" style="1"/>
  </cols>
  <sheetData>
    <row r="1" spans="1:46" ht="36" customHeight="1" x14ac:dyDescent="0.3">
      <c r="A1" s="278" t="s">
        <v>386</v>
      </c>
      <c r="B1" s="279"/>
      <c r="C1" s="279"/>
      <c r="D1" s="279"/>
      <c r="E1" s="280"/>
      <c r="F1" s="279"/>
      <c r="G1" s="279"/>
      <c r="H1" s="281"/>
      <c r="I1" s="279"/>
      <c r="J1" s="282"/>
      <c r="K1" s="282"/>
      <c r="L1" s="282"/>
      <c r="M1" s="283"/>
      <c r="N1" s="284"/>
      <c r="O1" s="279"/>
      <c r="P1" s="285"/>
      <c r="Q1" s="286"/>
      <c r="R1" s="286"/>
      <c r="S1" s="287"/>
      <c r="T1" s="45"/>
      <c r="U1" s="93"/>
      <c r="X1" s="93"/>
      <c r="Z1" s="105"/>
      <c r="AB1" s="105"/>
      <c r="AG1" s="107"/>
      <c r="AH1" s="107"/>
      <c r="AI1" s="107"/>
      <c r="AJ1" s="107"/>
      <c r="AK1" s="107"/>
    </row>
    <row r="2" spans="1:46" ht="22.5" customHeight="1" x14ac:dyDescent="0.25">
      <c r="A2" s="209" t="s">
        <v>96</v>
      </c>
      <c r="B2" s="243" t="s">
        <v>21</v>
      </c>
      <c r="C2" s="243"/>
      <c r="D2" s="243"/>
      <c r="E2" s="243"/>
      <c r="F2" s="243"/>
      <c r="G2" s="243"/>
      <c r="H2" s="244" t="s">
        <v>417</v>
      </c>
      <c r="I2" s="209"/>
      <c r="J2" s="209"/>
      <c r="K2" s="209"/>
      <c r="L2" s="209"/>
      <c r="M2" s="209"/>
      <c r="N2" s="245"/>
      <c r="O2" s="209" t="s">
        <v>421</v>
      </c>
      <c r="P2" s="246"/>
      <c r="Q2" s="247"/>
      <c r="R2" s="32" t="s">
        <v>97</v>
      </c>
      <c r="S2" s="209" t="s">
        <v>24</v>
      </c>
      <c r="T2" s="205" t="s">
        <v>4</v>
      </c>
      <c r="U2" s="94"/>
      <c r="V2" s="151"/>
      <c r="W2" s="153"/>
      <c r="X2" s="109"/>
      <c r="Y2" s="109"/>
      <c r="Z2" s="109"/>
      <c r="AA2" s="109"/>
      <c r="AB2" s="109"/>
      <c r="AC2" s="109"/>
      <c r="AD2" s="127"/>
      <c r="AE2" s="131"/>
      <c r="AF2" s="131"/>
      <c r="AG2" s="132"/>
      <c r="AH2" s="132"/>
      <c r="AI2" s="132"/>
      <c r="AJ2" s="129"/>
      <c r="AK2" s="132"/>
      <c r="AL2" s="133"/>
      <c r="AM2" s="133"/>
      <c r="AN2" s="133"/>
      <c r="AO2" s="133"/>
      <c r="AP2" s="150"/>
      <c r="AQ2" s="137"/>
      <c r="AR2" s="137"/>
      <c r="AS2" s="137"/>
      <c r="AT2" s="137"/>
    </row>
    <row r="3" spans="1:46" ht="33" customHeight="1" collapsed="1" x14ac:dyDescent="0.25">
      <c r="A3" s="218"/>
      <c r="B3" s="209" t="s">
        <v>2</v>
      </c>
      <c r="C3" s="209"/>
      <c r="D3" s="11" t="s">
        <v>43</v>
      </c>
      <c r="E3" s="16" t="s">
        <v>44</v>
      </c>
      <c r="F3" s="11" t="s">
        <v>98</v>
      </c>
      <c r="G3" s="11" t="s">
        <v>27</v>
      </c>
      <c r="H3" s="174" t="s">
        <v>539</v>
      </c>
      <c r="I3" s="175" t="s">
        <v>358</v>
      </c>
      <c r="J3" s="11" t="s">
        <v>534</v>
      </c>
      <c r="K3" s="11" t="s">
        <v>534</v>
      </c>
      <c r="L3" s="11" t="s">
        <v>99</v>
      </c>
      <c r="M3" s="176" t="s">
        <v>470</v>
      </c>
      <c r="N3" s="25" t="s">
        <v>13</v>
      </c>
      <c r="O3" s="11" t="s">
        <v>44</v>
      </c>
      <c r="P3" s="177" t="s">
        <v>464</v>
      </c>
      <c r="Q3" s="11" t="s">
        <v>13</v>
      </c>
      <c r="R3" s="32" t="s">
        <v>100</v>
      </c>
      <c r="S3" s="209"/>
      <c r="T3" s="207"/>
      <c r="U3" s="94">
        <v>0</v>
      </c>
      <c r="V3" s="151" t="s">
        <v>505</v>
      </c>
      <c r="W3" s="153" t="s">
        <v>506</v>
      </c>
      <c r="X3" s="109" t="s">
        <v>465</v>
      </c>
      <c r="Y3" s="109" t="s">
        <v>463</v>
      </c>
      <c r="Z3" s="109" t="s">
        <v>466</v>
      </c>
      <c r="AA3" s="109" t="s">
        <v>472</v>
      </c>
      <c r="AB3" s="109" t="s">
        <v>467</v>
      </c>
      <c r="AC3" s="109" t="s">
        <v>471</v>
      </c>
      <c r="AD3" s="127" t="s">
        <v>405</v>
      </c>
      <c r="AE3" s="131"/>
      <c r="AF3" s="131"/>
      <c r="AG3" s="132"/>
      <c r="AH3" s="132"/>
      <c r="AI3" s="132"/>
      <c r="AJ3" s="129" t="s">
        <v>407</v>
      </c>
      <c r="AK3" s="132"/>
      <c r="AL3" s="133"/>
      <c r="AM3" s="133"/>
      <c r="AN3" s="133"/>
      <c r="AO3" s="133"/>
      <c r="AP3" s="150" t="s">
        <v>500</v>
      </c>
      <c r="AQ3" s="150"/>
      <c r="AR3" s="150"/>
      <c r="AS3" s="150"/>
      <c r="AT3" s="150"/>
    </row>
    <row r="4" spans="1:46" ht="33" hidden="1" customHeight="1" outlineLevel="1" x14ac:dyDescent="0.25">
      <c r="A4" s="64" t="s">
        <v>378</v>
      </c>
      <c r="B4" s="64" t="s">
        <v>369</v>
      </c>
      <c r="C4" s="64" t="s">
        <v>371</v>
      </c>
      <c r="D4" s="64" t="s">
        <v>374</v>
      </c>
      <c r="E4" s="64" t="s">
        <v>372</v>
      </c>
      <c r="F4" s="64" t="s">
        <v>373</v>
      </c>
      <c r="G4" s="64" t="s">
        <v>370</v>
      </c>
      <c r="H4" s="69" t="s">
        <v>377</v>
      </c>
      <c r="I4" s="64" t="s">
        <v>509</v>
      </c>
      <c r="J4" s="64"/>
      <c r="K4" s="64"/>
      <c r="L4" s="64"/>
      <c r="M4" s="69" t="s">
        <v>375</v>
      </c>
      <c r="N4" s="64"/>
      <c r="O4" s="64" t="s">
        <v>475</v>
      </c>
      <c r="P4" s="69" t="s">
        <v>376</v>
      </c>
      <c r="Q4" s="64"/>
      <c r="R4" s="64"/>
      <c r="S4" s="64"/>
      <c r="T4" s="64"/>
      <c r="U4" s="124"/>
      <c r="V4" s="151" t="s">
        <v>507</v>
      </c>
      <c r="W4" s="153" t="s">
        <v>506</v>
      </c>
      <c r="X4" s="126" t="s">
        <v>468</v>
      </c>
      <c r="Y4" s="126" t="s">
        <v>468</v>
      </c>
      <c r="Z4" s="126" t="s">
        <v>468</v>
      </c>
      <c r="AA4" s="126" t="s">
        <v>468</v>
      </c>
      <c r="AB4" s="126" t="s">
        <v>468</v>
      </c>
      <c r="AC4" s="126" t="s">
        <v>468</v>
      </c>
      <c r="AD4" s="127" t="s">
        <v>405</v>
      </c>
      <c r="AE4" s="127" t="s">
        <v>405</v>
      </c>
      <c r="AF4" s="127" t="s">
        <v>405</v>
      </c>
      <c r="AG4" s="134" t="s">
        <v>485</v>
      </c>
      <c r="AH4" s="134" t="s">
        <v>483</v>
      </c>
      <c r="AI4" s="134" t="s">
        <v>484</v>
      </c>
      <c r="AJ4" s="129" t="s">
        <v>407</v>
      </c>
      <c r="AK4" s="129" t="s">
        <v>408</v>
      </c>
      <c r="AL4" s="129" t="s">
        <v>409</v>
      </c>
      <c r="AM4" s="129" t="s">
        <v>410</v>
      </c>
      <c r="AN4" s="129" t="s">
        <v>411</v>
      </c>
      <c r="AO4" s="129" t="s">
        <v>412</v>
      </c>
      <c r="AP4" s="150" t="s">
        <v>501</v>
      </c>
      <c r="AQ4" s="150" t="s">
        <v>502</v>
      </c>
      <c r="AR4" s="150" t="s">
        <v>502</v>
      </c>
      <c r="AS4" s="150" t="s">
        <v>503</v>
      </c>
      <c r="AT4" s="150" t="s">
        <v>504</v>
      </c>
    </row>
    <row r="5" spans="1:46" ht="144" x14ac:dyDescent="0.25">
      <c r="A5" s="12">
        <v>1</v>
      </c>
      <c r="B5" s="205" t="s">
        <v>351</v>
      </c>
      <c r="C5" s="276" t="s">
        <v>101</v>
      </c>
      <c r="D5" s="276" t="s">
        <v>102</v>
      </c>
      <c r="E5" s="43" t="s">
        <v>77</v>
      </c>
      <c r="F5" s="14" t="s">
        <v>46</v>
      </c>
      <c r="G5" s="14" t="s">
        <v>75</v>
      </c>
      <c r="H5" s="162"/>
      <c r="I5" s="17"/>
      <c r="J5" s="17"/>
      <c r="K5" s="17"/>
      <c r="L5" s="17"/>
      <c r="M5" s="163"/>
      <c r="N5" s="44">
        <f t="shared" ref="N5:N12" si="0">H5*I5*M5</f>
        <v>0</v>
      </c>
      <c r="O5" s="14" t="s">
        <v>103</v>
      </c>
      <c r="P5" s="38"/>
      <c r="Q5" s="164">
        <f t="shared" ref="Q5:Q12" si="1">N5*P5</f>
        <v>0</v>
      </c>
      <c r="R5" s="164">
        <f t="shared" ref="R5:R12" si="2">N5+Q5</f>
        <v>0</v>
      </c>
      <c r="S5" s="46" t="s">
        <v>104</v>
      </c>
      <c r="T5" s="46"/>
      <c r="U5" s="114"/>
      <c r="X5" s="116" t="str">
        <f>VLOOKUP($F5,{"简单","8033";"中等","11475";"复杂","17213"},2,0)</f>
        <v>11475</v>
      </c>
      <c r="Y5" s="135" t="s">
        <v>418</v>
      </c>
      <c r="Z5" s="116">
        <v>1</v>
      </c>
      <c r="AA5" s="110"/>
      <c r="AB5" s="117" t="str">
        <f>VLOOKUP($O5,{"甲级","1.2";"乙级","1.0";"丙级","0.8"},2,0)</f>
        <v>1.2</v>
      </c>
      <c r="AC5" s="110" t="s">
        <v>488</v>
      </c>
      <c r="AD5" s="130">
        <f t="shared" ref="AD5:AD13" si="3">H5+AG5-X5</f>
        <v>-11475</v>
      </c>
      <c r="AE5" s="130">
        <f>M5+AH5-Z5</f>
        <v>-1</v>
      </c>
      <c r="AF5" s="130">
        <f>P5+AI5-AB5</f>
        <v>-1.2</v>
      </c>
      <c r="AG5" s="120"/>
      <c r="AH5" s="120"/>
      <c r="AI5" s="120"/>
      <c r="AJ5" s="120"/>
      <c r="AK5" s="120"/>
      <c r="AL5" s="133"/>
      <c r="AM5" s="133"/>
      <c r="AN5" s="133"/>
      <c r="AO5" s="133"/>
    </row>
    <row r="6" spans="1:46" ht="22.5" customHeight="1" x14ac:dyDescent="0.25">
      <c r="A6" s="12">
        <v>2</v>
      </c>
      <c r="B6" s="206"/>
      <c r="C6" s="277"/>
      <c r="D6" s="277"/>
      <c r="E6" s="43" t="s">
        <v>533</v>
      </c>
      <c r="F6" s="14" t="s">
        <v>46</v>
      </c>
      <c r="G6" s="14" t="s">
        <v>75</v>
      </c>
      <c r="H6" s="162"/>
      <c r="I6" s="17">
        <v>0.5</v>
      </c>
      <c r="J6" s="17"/>
      <c r="K6" s="17"/>
      <c r="L6" s="17"/>
      <c r="M6" s="163"/>
      <c r="N6" s="165">
        <f t="shared" si="0"/>
        <v>0</v>
      </c>
      <c r="O6" s="14" t="s">
        <v>103</v>
      </c>
      <c r="P6" s="38"/>
      <c r="Q6" s="165">
        <f t="shared" si="1"/>
        <v>0</v>
      </c>
      <c r="R6" s="165">
        <f t="shared" si="2"/>
        <v>0</v>
      </c>
      <c r="S6" s="46" t="s">
        <v>104</v>
      </c>
      <c r="T6" s="46"/>
      <c r="U6" s="114"/>
      <c r="X6" s="116" t="str">
        <f>VLOOKUP($F6,{"简单","5355";"中等","7650";"复杂","11475"},2,0)</f>
        <v>7650</v>
      </c>
      <c r="Y6" s="136" t="s">
        <v>437</v>
      </c>
      <c r="Z6" s="116">
        <v>1</v>
      </c>
      <c r="AA6" s="110"/>
      <c r="AB6" s="117" t="str">
        <f>VLOOKUP($O6,{"甲级","1.2";"乙级","1.0";"丙级","0.8"},2,0)</f>
        <v>1.2</v>
      </c>
      <c r="AC6" s="110"/>
      <c r="AD6" s="130">
        <f t="shared" si="3"/>
        <v>-7650</v>
      </c>
      <c r="AE6" s="130">
        <f t="shared" ref="AE6:AE13" si="4">M6+AH6-Z6</f>
        <v>-1</v>
      </c>
      <c r="AF6" s="130">
        <f t="shared" ref="AF6:AF13" si="5">P6+AI6-AB6</f>
        <v>-1.2</v>
      </c>
      <c r="AG6" s="120"/>
      <c r="AH6" s="120"/>
      <c r="AI6" s="120"/>
      <c r="AJ6" s="120"/>
      <c r="AK6" s="120"/>
      <c r="AL6" s="133"/>
      <c r="AM6" s="133"/>
      <c r="AN6" s="133"/>
      <c r="AO6" s="133"/>
    </row>
    <row r="7" spans="1:46" ht="22.5" customHeight="1" x14ac:dyDescent="0.25">
      <c r="A7" s="12">
        <v>3</v>
      </c>
      <c r="B7" s="206"/>
      <c r="C7" s="277"/>
      <c r="D7" s="277"/>
      <c r="E7" s="43" t="s">
        <v>79</v>
      </c>
      <c r="F7" s="14" t="s">
        <v>50</v>
      </c>
      <c r="G7" s="14" t="s">
        <v>75</v>
      </c>
      <c r="H7" s="162"/>
      <c r="I7" s="17"/>
      <c r="J7" s="17"/>
      <c r="K7" s="17"/>
      <c r="L7" s="17"/>
      <c r="M7" s="163"/>
      <c r="N7" s="165">
        <f t="shared" si="0"/>
        <v>0</v>
      </c>
      <c r="O7" s="14" t="s">
        <v>103</v>
      </c>
      <c r="P7" s="38"/>
      <c r="Q7" s="165">
        <f t="shared" si="1"/>
        <v>0</v>
      </c>
      <c r="R7" s="165">
        <f t="shared" si="2"/>
        <v>0</v>
      </c>
      <c r="S7" s="46" t="s">
        <v>104</v>
      </c>
      <c r="T7" s="46"/>
      <c r="U7" s="114"/>
      <c r="X7" s="116" t="str">
        <f>VLOOKUP($F7,{"简单","5355";"中等","7650";"复杂","11475"},2,0)</f>
        <v>11475</v>
      </c>
      <c r="Y7" s="111"/>
      <c r="Z7" s="116">
        <v>1</v>
      </c>
      <c r="AA7" s="111"/>
      <c r="AB7" s="117" t="str">
        <f>VLOOKUP($O7,{"甲级","1.2";"乙级","1.0";"丙级","0.8"},2,0)</f>
        <v>1.2</v>
      </c>
      <c r="AC7" s="111"/>
      <c r="AD7" s="130">
        <f t="shared" si="3"/>
        <v>-11475</v>
      </c>
      <c r="AE7" s="130">
        <f t="shared" si="4"/>
        <v>-1</v>
      </c>
      <c r="AF7" s="130">
        <f t="shared" si="5"/>
        <v>-1.2</v>
      </c>
      <c r="AG7" s="120"/>
      <c r="AH7" s="120"/>
      <c r="AI7" s="120"/>
      <c r="AJ7" s="120"/>
      <c r="AK7" s="120"/>
      <c r="AL7" s="133"/>
      <c r="AM7" s="133"/>
      <c r="AN7" s="133"/>
      <c r="AO7" s="133"/>
    </row>
    <row r="8" spans="1:46" ht="22.5" customHeight="1" x14ac:dyDescent="0.25">
      <c r="A8" s="12">
        <v>4</v>
      </c>
      <c r="B8" s="206"/>
      <c r="C8" s="277"/>
      <c r="D8" s="277"/>
      <c r="E8" s="43" t="s">
        <v>62</v>
      </c>
      <c r="F8" s="14" t="s">
        <v>46</v>
      </c>
      <c r="G8" s="14" t="s">
        <v>75</v>
      </c>
      <c r="H8" s="162"/>
      <c r="I8" s="17">
        <v>3.7759999999999998</v>
      </c>
      <c r="J8" s="17"/>
      <c r="K8" s="17"/>
      <c r="L8" s="17"/>
      <c r="M8" s="163"/>
      <c r="N8" s="165">
        <f t="shared" si="0"/>
        <v>0</v>
      </c>
      <c r="O8" s="14" t="s">
        <v>103</v>
      </c>
      <c r="P8" s="38"/>
      <c r="Q8" s="165">
        <f t="shared" si="1"/>
        <v>0</v>
      </c>
      <c r="R8" s="165">
        <f t="shared" si="2"/>
        <v>0</v>
      </c>
      <c r="S8" s="46" t="s">
        <v>104</v>
      </c>
      <c r="T8" s="46"/>
      <c r="U8" s="114"/>
      <c r="X8" s="116" t="str">
        <f>VLOOKUP($F8,{"简单","3570";"中等","5100";"复杂","7650"},2,0)</f>
        <v>5100</v>
      </c>
      <c r="Y8" s="111"/>
      <c r="Z8" s="116">
        <v>1</v>
      </c>
      <c r="AA8" s="111"/>
      <c r="AB8" s="117" t="str">
        <f>VLOOKUP($O8,{"甲级","1.2";"乙级","1.0";"丙级","0.8"},2,0)</f>
        <v>1.2</v>
      </c>
      <c r="AC8" s="111"/>
      <c r="AD8" s="130">
        <f t="shared" si="3"/>
        <v>-5100</v>
      </c>
      <c r="AE8" s="130">
        <f t="shared" si="4"/>
        <v>-1</v>
      </c>
      <c r="AF8" s="130">
        <f t="shared" si="5"/>
        <v>-1.2</v>
      </c>
      <c r="AG8" s="120"/>
      <c r="AH8" s="120"/>
      <c r="AI8" s="120"/>
      <c r="AJ8" s="120"/>
      <c r="AK8" s="120"/>
      <c r="AL8" s="133"/>
      <c r="AM8" s="133"/>
      <c r="AN8" s="133"/>
      <c r="AO8" s="133"/>
    </row>
    <row r="9" spans="1:46" ht="22.5" customHeight="1" x14ac:dyDescent="0.25">
      <c r="A9" s="12">
        <v>5</v>
      </c>
      <c r="B9" s="206"/>
      <c r="C9" s="277"/>
      <c r="D9" s="277"/>
      <c r="E9" s="43" t="s">
        <v>105</v>
      </c>
      <c r="F9" s="14" t="s">
        <v>50</v>
      </c>
      <c r="G9" s="14" t="s">
        <v>75</v>
      </c>
      <c r="H9" s="162"/>
      <c r="I9" s="17"/>
      <c r="J9" s="17"/>
      <c r="K9" s="17"/>
      <c r="L9" s="17"/>
      <c r="M9" s="163"/>
      <c r="N9" s="165">
        <f t="shared" si="0"/>
        <v>0</v>
      </c>
      <c r="O9" s="14" t="s">
        <v>103</v>
      </c>
      <c r="P9" s="38"/>
      <c r="Q9" s="165">
        <f t="shared" si="1"/>
        <v>0</v>
      </c>
      <c r="R9" s="165">
        <f t="shared" si="2"/>
        <v>0</v>
      </c>
      <c r="S9" s="46"/>
      <c r="T9" s="46" t="s">
        <v>415</v>
      </c>
      <c r="U9" s="114"/>
      <c r="X9" s="116" t="str">
        <f>VLOOKUP($F9,{"简单","536";"中等","765";"复杂","1148"},2,0)</f>
        <v>1148</v>
      </c>
      <c r="Y9" s="111"/>
      <c r="Z9" s="116">
        <v>1.3</v>
      </c>
      <c r="AA9" s="111" t="s">
        <v>106</v>
      </c>
      <c r="AB9" s="117" t="str">
        <f>VLOOKUP($O9,{"甲级","1.2";"乙级","1.0";"丙级","0.8"},2,0)</f>
        <v>1.2</v>
      </c>
      <c r="AC9" s="111"/>
      <c r="AD9" s="130">
        <f t="shared" si="3"/>
        <v>-1148</v>
      </c>
      <c r="AE9" s="130">
        <f t="shared" si="4"/>
        <v>-1.3</v>
      </c>
      <c r="AF9" s="130">
        <f t="shared" si="5"/>
        <v>-1.2</v>
      </c>
      <c r="AG9" s="120"/>
      <c r="AH9" s="120"/>
      <c r="AI9" s="120"/>
      <c r="AJ9" s="120"/>
      <c r="AK9" s="120"/>
      <c r="AL9" s="133"/>
      <c r="AM9" s="133"/>
      <c r="AN9" s="133"/>
      <c r="AO9" s="133"/>
    </row>
    <row r="10" spans="1:46" ht="22.5" customHeight="1" x14ac:dyDescent="0.25">
      <c r="A10" s="12">
        <v>6</v>
      </c>
      <c r="B10" s="206"/>
      <c r="C10" s="277"/>
      <c r="D10" s="277"/>
      <c r="E10" s="43" t="s">
        <v>105</v>
      </c>
      <c r="F10" s="14" t="s">
        <v>46</v>
      </c>
      <c r="G10" s="14" t="s">
        <v>75</v>
      </c>
      <c r="H10" s="162"/>
      <c r="I10" s="17"/>
      <c r="J10" s="17"/>
      <c r="K10" s="17"/>
      <c r="L10" s="17"/>
      <c r="M10" s="163"/>
      <c r="N10" s="165">
        <f t="shared" si="0"/>
        <v>0</v>
      </c>
      <c r="O10" s="14" t="s">
        <v>103</v>
      </c>
      <c r="P10" s="38"/>
      <c r="Q10" s="165">
        <f t="shared" si="1"/>
        <v>0</v>
      </c>
      <c r="R10" s="165">
        <f t="shared" si="2"/>
        <v>0</v>
      </c>
      <c r="S10" s="46"/>
      <c r="T10" s="46" t="s">
        <v>415</v>
      </c>
      <c r="U10" s="114"/>
      <c r="X10" s="116" t="str">
        <f>VLOOKUP($F10,{"简单","536";"中等","765";"复杂","1148"},2,0)</f>
        <v>765</v>
      </c>
      <c r="Y10" s="111"/>
      <c r="Z10" s="116">
        <v>1.3</v>
      </c>
      <c r="AA10" s="111" t="s">
        <v>106</v>
      </c>
      <c r="AB10" s="117" t="str">
        <f>VLOOKUP($O10,{"甲级","1.2";"乙级","1.0";"丙级","0.8"},2,0)</f>
        <v>1.2</v>
      </c>
      <c r="AC10" s="111"/>
      <c r="AD10" s="130">
        <f t="shared" si="3"/>
        <v>-765</v>
      </c>
      <c r="AE10" s="130">
        <f t="shared" si="4"/>
        <v>-1.3</v>
      </c>
      <c r="AF10" s="130">
        <f t="shared" si="5"/>
        <v>-1.2</v>
      </c>
      <c r="AG10" s="120"/>
      <c r="AH10" s="120"/>
      <c r="AI10" s="120"/>
      <c r="AJ10" s="120"/>
      <c r="AK10" s="120"/>
      <c r="AL10" s="133"/>
      <c r="AM10" s="133"/>
      <c r="AN10" s="133"/>
      <c r="AO10" s="133"/>
    </row>
    <row r="11" spans="1:46" ht="22.5" customHeight="1" x14ac:dyDescent="0.25">
      <c r="A11" s="12">
        <v>7</v>
      </c>
      <c r="B11" s="206"/>
      <c r="C11" s="277"/>
      <c r="D11" s="277"/>
      <c r="E11" s="143" t="s">
        <v>73</v>
      </c>
      <c r="F11" s="39" t="s">
        <v>50</v>
      </c>
      <c r="G11" s="14" t="s">
        <v>75</v>
      </c>
      <c r="H11" s="166"/>
      <c r="I11" s="17">
        <v>17.34</v>
      </c>
      <c r="J11" s="159"/>
      <c r="K11" s="159"/>
      <c r="L11" s="159"/>
      <c r="M11" s="163"/>
      <c r="N11" s="165">
        <f t="shared" si="0"/>
        <v>0</v>
      </c>
      <c r="O11" s="14" t="s">
        <v>103</v>
      </c>
      <c r="P11" s="38"/>
      <c r="Q11" s="165">
        <f t="shared" si="1"/>
        <v>0</v>
      </c>
      <c r="R11" s="165">
        <f t="shared" si="2"/>
        <v>0</v>
      </c>
      <c r="S11" s="46" t="s">
        <v>104</v>
      </c>
      <c r="T11" s="46" t="s">
        <v>415</v>
      </c>
      <c r="U11" s="114"/>
      <c r="X11" s="116" t="str">
        <f>VLOOKUP($F11,{"简单","134";"中等","191";"复杂","287"},2,0)</f>
        <v>287</v>
      </c>
      <c r="Y11" s="111"/>
      <c r="Z11" s="116">
        <v>1.3</v>
      </c>
      <c r="AA11" s="111" t="s">
        <v>106</v>
      </c>
      <c r="AB11" s="117" t="str">
        <f>VLOOKUP($O11,{"甲级","1.2";"乙级","1.0";"丙级","0.8"},2,0)</f>
        <v>1.2</v>
      </c>
      <c r="AC11" s="111"/>
      <c r="AD11" s="130">
        <f t="shared" si="3"/>
        <v>-287</v>
      </c>
      <c r="AE11" s="130">
        <f t="shared" si="4"/>
        <v>-1.3</v>
      </c>
      <c r="AF11" s="130">
        <f t="shared" si="5"/>
        <v>-1.2</v>
      </c>
      <c r="AG11" s="120"/>
      <c r="AH11" s="120"/>
      <c r="AI11" s="120"/>
      <c r="AJ11" s="120"/>
      <c r="AK11" s="120"/>
      <c r="AL11" s="133"/>
      <c r="AM11" s="133"/>
      <c r="AN11" s="133"/>
      <c r="AO11" s="133"/>
    </row>
    <row r="12" spans="1:46" ht="22.5" customHeight="1" x14ac:dyDescent="0.25">
      <c r="A12" s="12">
        <v>8</v>
      </c>
      <c r="B12" s="206"/>
      <c r="C12" s="277"/>
      <c r="D12" s="277"/>
      <c r="E12" s="143" t="s">
        <v>73</v>
      </c>
      <c r="F12" s="39" t="s">
        <v>46</v>
      </c>
      <c r="G12" s="14" t="s">
        <v>75</v>
      </c>
      <c r="H12" s="166"/>
      <c r="I12" s="17">
        <v>192.92</v>
      </c>
      <c r="J12" s="159"/>
      <c r="K12" s="159"/>
      <c r="L12" s="159"/>
      <c r="M12" s="163"/>
      <c r="N12" s="165">
        <f t="shared" si="0"/>
        <v>0</v>
      </c>
      <c r="O12" s="14" t="s">
        <v>103</v>
      </c>
      <c r="P12" s="38"/>
      <c r="Q12" s="165">
        <f t="shared" si="1"/>
        <v>0</v>
      </c>
      <c r="R12" s="165">
        <f t="shared" si="2"/>
        <v>0</v>
      </c>
      <c r="S12" s="46" t="s">
        <v>104</v>
      </c>
      <c r="T12" s="46" t="s">
        <v>106</v>
      </c>
      <c r="U12" s="114"/>
      <c r="X12" s="116" t="str">
        <f>VLOOKUP($F12,{"简单","134";"中等","191";"复杂","287"},2,0)</f>
        <v>191</v>
      </c>
      <c r="Y12" s="111"/>
      <c r="Z12" s="116">
        <v>1.3</v>
      </c>
      <c r="AA12" s="111" t="s">
        <v>106</v>
      </c>
      <c r="AB12" s="117" t="str">
        <f>VLOOKUP($O12,{"甲级","1.2";"乙级","1.0";"丙级","0.8"},2,0)</f>
        <v>1.2</v>
      </c>
      <c r="AC12" s="111"/>
      <c r="AD12" s="130">
        <f t="shared" si="3"/>
        <v>-191</v>
      </c>
      <c r="AE12" s="130">
        <f t="shared" si="4"/>
        <v>-1.3</v>
      </c>
      <c r="AF12" s="130">
        <f t="shared" si="5"/>
        <v>-1.2</v>
      </c>
      <c r="AG12" s="120"/>
      <c r="AH12" s="120"/>
      <c r="AI12" s="120"/>
      <c r="AJ12" s="120"/>
      <c r="AK12" s="120"/>
      <c r="AL12" s="133"/>
      <c r="AM12" s="133"/>
      <c r="AN12" s="133"/>
      <c r="AO12" s="133"/>
    </row>
    <row r="13" spans="1:46" s="197" customFormat="1" ht="22.5" customHeight="1" x14ac:dyDescent="0.25">
      <c r="A13" s="64" t="s">
        <v>537</v>
      </c>
      <c r="B13" s="218" t="s">
        <v>536</v>
      </c>
      <c r="C13" s="275"/>
      <c r="D13" s="275"/>
      <c r="E13" s="275"/>
      <c r="F13" s="275"/>
      <c r="G13" s="275"/>
      <c r="H13" s="275"/>
      <c r="I13" s="275"/>
      <c r="J13" s="275"/>
      <c r="K13" s="275"/>
      <c r="L13" s="275"/>
      <c r="M13" s="248"/>
      <c r="N13" s="189">
        <f>SUM(N5:N12)</f>
        <v>0</v>
      </c>
      <c r="O13" s="190"/>
      <c r="P13" s="191"/>
      <c r="Q13" s="189">
        <f>SUM(Q5:Q12)</f>
        <v>0</v>
      </c>
      <c r="R13" s="189">
        <f>SUM(R5:R12)</f>
        <v>0</v>
      </c>
      <c r="S13" s="190"/>
      <c r="T13" s="192"/>
      <c r="U13" s="183"/>
      <c r="W13" s="198"/>
      <c r="X13" s="193"/>
      <c r="Y13" s="185"/>
      <c r="Z13" s="193"/>
      <c r="AA13" s="185"/>
      <c r="AB13" s="194"/>
      <c r="AC13" s="185"/>
      <c r="AD13" s="187">
        <f t="shared" si="3"/>
        <v>0</v>
      </c>
      <c r="AE13" s="187">
        <f t="shared" si="4"/>
        <v>0</v>
      </c>
      <c r="AF13" s="187">
        <f t="shared" si="5"/>
        <v>0</v>
      </c>
      <c r="AG13" s="195"/>
      <c r="AH13" s="195"/>
      <c r="AI13" s="195"/>
      <c r="AJ13" s="195"/>
      <c r="AK13" s="195"/>
      <c r="AL13" s="196"/>
      <c r="AM13" s="196"/>
      <c r="AN13" s="196"/>
      <c r="AO13" s="196"/>
    </row>
    <row r="14" spans="1:46" ht="22.5" customHeight="1" x14ac:dyDescent="0.25">
      <c r="U14" s="103"/>
      <c r="X14" s="80"/>
      <c r="Y14" s="106"/>
      <c r="Z14" s="80"/>
      <c r="AA14" s="106"/>
      <c r="AB14" s="85"/>
      <c r="AC14" s="106"/>
      <c r="AD14" s="97"/>
      <c r="AE14" s="97"/>
      <c r="AF14" s="97"/>
    </row>
    <row r="15" spans="1:46" ht="22.5" customHeight="1" x14ac:dyDescent="0.25">
      <c r="U15" s="103"/>
      <c r="X15" s="104"/>
      <c r="Y15" s="104"/>
      <c r="Z15" s="108" t="s">
        <v>419</v>
      </c>
      <c r="AA15" s="106"/>
      <c r="AB15" s="108" t="s">
        <v>422</v>
      </c>
      <c r="AC15" s="106"/>
      <c r="AD15" s="97"/>
      <c r="AE15" s="97"/>
      <c r="AF15" s="97"/>
    </row>
    <row r="16" spans="1:46" ht="22.5" customHeight="1" x14ac:dyDescent="0.25">
      <c r="X16" s="104"/>
      <c r="Y16" s="104"/>
      <c r="Z16" s="108" t="s">
        <v>416</v>
      </c>
      <c r="AB16" s="108" t="s">
        <v>423</v>
      </c>
      <c r="AC16" s="106"/>
      <c r="AD16" s="97"/>
      <c r="AE16" s="97"/>
      <c r="AF16" s="97"/>
    </row>
    <row r="17" spans="24:32" ht="22.5" customHeight="1" x14ac:dyDescent="0.25">
      <c r="X17" s="104"/>
      <c r="Y17" s="104"/>
      <c r="Z17" s="108" t="s">
        <v>420</v>
      </c>
      <c r="AB17" s="108" t="s">
        <v>478</v>
      </c>
      <c r="AC17" s="106"/>
      <c r="AD17" s="97"/>
      <c r="AE17" s="97"/>
      <c r="AF17" s="97"/>
    </row>
    <row r="18" spans="24:32" ht="22.5" customHeight="1" x14ac:dyDescent="0.25">
      <c r="X18" s="104"/>
      <c r="Y18" s="104"/>
      <c r="Z18" s="108" t="s">
        <v>424</v>
      </c>
      <c r="AB18" s="108"/>
      <c r="AC18" s="106"/>
      <c r="AD18" s="97"/>
      <c r="AE18" s="97"/>
      <c r="AF18" s="97"/>
    </row>
    <row r="19" spans="24:32" ht="22.5" customHeight="1" x14ac:dyDescent="0.25">
      <c r="X19" s="104"/>
      <c r="Y19" s="104"/>
      <c r="Z19" s="108"/>
      <c r="AB19" s="108"/>
      <c r="AD19" s="97"/>
      <c r="AE19" s="97"/>
      <c r="AF19" s="97"/>
    </row>
    <row r="20" spans="24:32" ht="22.5" customHeight="1" x14ac:dyDescent="0.25">
      <c r="X20" s="104"/>
      <c r="Y20" s="104"/>
      <c r="Z20" s="108"/>
      <c r="AB20" s="108"/>
      <c r="AD20" s="97"/>
      <c r="AE20" s="97"/>
      <c r="AF20" s="97"/>
    </row>
    <row r="21" spans="24:32" ht="22.5" customHeight="1" x14ac:dyDescent="0.25">
      <c r="X21" s="104"/>
      <c r="Y21" s="104"/>
      <c r="Z21" s="108"/>
      <c r="AB21" s="108"/>
      <c r="AD21" s="97"/>
      <c r="AE21" s="97"/>
      <c r="AF21" s="97"/>
    </row>
    <row r="22" spans="24:32" ht="22.5" customHeight="1" x14ac:dyDescent="0.25">
      <c r="X22" s="104"/>
      <c r="Y22" s="104"/>
      <c r="Z22" s="108"/>
      <c r="AB22" s="108"/>
      <c r="AD22" s="97"/>
      <c r="AE22" s="97"/>
      <c r="AF22" s="97"/>
    </row>
    <row r="23" spans="24:32" ht="22.5" customHeight="1" x14ac:dyDescent="0.25">
      <c r="X23" s="80"/>
      <c r="AB23" s="85"/>
      <c r="AD23" s="97"/>
      <c r="AE23" s="97"/>
      <c r="AF23" s="97"/>
    </row>
    <row r="24" spans="24:32" ht="22.5" customHeight="1" x14ac:dyDescent="0.25">
      <c r="X24" s="80"/>
      <c r="AB24" s="85"/>
      <c r="AD24" s="97"/>
      <c r="AE24" s="97"/>
      <c r="AF24" s="97"/>
    </row>
    <row r="25" spans="24:32" ht="22.5" customHeight="1" x14ac:dyDescent="0.25">
      <c r="AD25" s="97"/>
      <c r="AE25" s="97"/>
      <c r="AF25" s="97"/>
    </row>
    <row r="26" spans="24:32" ht="22.5" customHeight="1" x14ac:dyDescent="0.25">
      <c r="AD26" s="97"/>
      <c r="AE26" s="97"/>
      <c r="AF26" s="97"/>
    </row>
    <row r="27" spans="24:32" ht="22.5" customHeight="1" x14ac:dyDescent="0.25">
      <c r="AD27" s="97"/>
      <c r="AE27" s="97"/>
      <c r="AF27" s="97"/>
    </row>
    <row r="28" spans="24:32" ht="22.5" customHeight="1" x14ac:dyDescent="0.25">
      <c r="AD28" s="97"/>
      <c r="AE28" s="97"/>
      <c r="AF28" s="97"/>
    </row>
    <row r="29" spans="24:32" ht="22.5" customHeight="1" x14ac:dyDescent="0.25">
      <c r="AD29" s="97"/>
      <c r="AE29" s="97"/>
      <c r="AF29" s="97"/>
    </row>
    <row r="30" spans="24:32" ht="22.5" customHeight="1" x14ac:dyDescent="0.25">
      <c r="AD30" s="97"/>
      <c r="AE30" s="97"/>
      <c r="AF30" s="97"/>
    </row>
    <row r="31" spans="24:32" ht="22.5" customHeight="1" x14ac:dyDescent="0.25">
      <c r="AD31" s="97"/>
      <c r="AE31" s="97"/>
      <c r="AF31" s="97"/>
    </row>
    <row r="32" spans="24:32" ht="22.5" customHeight="1" x14ac:dyDescent="0.25">
      <c r="AD32" s="97"/>
      <c r="AE32" s="97"/>
      <c r="AF32" s="97"/>
    </row>
    <row r="33" spans="30:32" ht="22.5" customHeight="1" x14ac:dyDescent="0.25">
      <c r="AD33" s="97"/>
      <c r="AE33" s="97"/>
      <c r="AF33" s="97"/>
    </row>
    <row r="34" spans="30:32" ht="22.5" customHeight="1" x14ac:dyDescent="0.25">
      <c r="AD34" s="97"/>
      <c r="AE34" s="97"/>
      <c r="AF34" s="97"/>
    </row>
    <row r="35" spans="30:32" ht="22.5" customHeight="1" x14ac:dyDescent="0.25">
      <c r="AD35" s="97"/>
      <c r="AE35" s="97"/>
      <c r="AF35" s="97"/>
    </row>
    <row r="36" spans="30:32" ht="22.5" customHeight="1" x14ac:dyDescent="0.25">
      <c r="AD36" s="97"/>
      <c r="AE36" s="97"/>
      <c r="AF36" s="97"/>
    </row>
    <row r="37" spans="30:32" ht="22.5" customHeight="1" x14ac:dyDescent="0.25">
      <c r="AD37" s="97"/>
      <c r="AE37" s="97"/>
      <c r="AF37" s="97"/>
    </row>
    <row r="38" spans="30:32" ht="22.5" customHeight="1" x14ac:dyDescent="0.25">
      <c r="AD38" s="97"/>
      <c r="AE38" s="97"/>
      <c r="AF38" s="97"/>
    </row>
    <row r="39" spans="30:32" ht="22.5" customHeight="1" x14ac:dyDescent="0.25">
      <c r="AD39" s="97"/>
      <c r="AE39" s="97"/>
      <c r="AF39" s="97"/>
    </row>
    <row r="40" spans="30:32" ht="22.5" customHeight="1" x14ac:dyDescent="0.25">
      <c r="AD40" s="97"/>
      <c r="AE40" s="97"/>
      <c r="AF40" s="97"/>
    </row>
    <row r="41" spans="30:32" ht="22.5" customHeight="1" x14ac:dyDescent="0.25">
      <c r="AD41" s="97"/>
      <c r="AE41" s="97"/>
      <c r="AF41" s="97"/>
    </row>
    <row r="42" spans="30:32" ht="22.5" customHeight="1" x14ac:dyDescent="0.25">
      <c r="AD42" s="97"/>
      <c r="AE42" s="97"/>
      <c r="AF42" s="97"/>
    </row>
    <row r="43" spans="30:32" ht="22.5" customHeight="1" x14ac:dyDescent="0.25">
      <c r="AD43" s="97"/>
      <c r="AE43" s="97"/>
      <c r="AF43" s="97"/>
    </row>
    <row r="44" spans="30:32" ht="22.5" customHeight="1" x14ac:dyDescent="0.25">
      <c r="AD44" s="97"/>
      <c r="AE44" s="97"/>
      <c r="AF44" s="97"/>
    </row>
    <row r="45" spans="30:32" ht="22.5" customHeight="1" x14ac:dyDescent="0.25">
      <c r="AD45" s="97"/>
      <c r="AE45" s="97"/>
      <c r="AF45" s="97"/>
    </row>
    <row r="46" spans="30:32" ht="22.5" customHeight="1" x14ac:dyDescent="0.25">
      <c r="AD46" s="97"/>
      <c r="AE46" s="97"/>
      <c r="AF46" s="97"/>
    </row>
    <row r="47" spans="30:32" ht="22.5" customHeight="1" x14ac:dyDescent="0.25">
      <c r="AD47" s="97"/>
      <c r="AE47" s="97"/>
      <c r="AF47" s="97"/>
    </row>
    <row r="48" spans="30:32" ht="22.5" customHeight="1" x14ac:dyDescent="0.25">
      <c r="AD48" s="97"/>
      <c r="AE48" s="97"/>
      <c r="AF48" s="97"/>
    </row>
    <row r="49" spans="30:32" ht="22.5" customHeight="1" x14ac:dyDescent="0.25">
      <c r="AD49" s="97"/>
      <c r="AE49" s="97"/>
      <c r="AF49" s="97"/>
    </row>
    <row r="50" spans="30:32" ht="22.5" customHeight="1" x14ac:dyDescent="0.25">
      <c r="AD50" s="97"/>
      <c r="AE50" s="97"/>
      <c r="AF50" s="97"/>
    </row>
    <row r="51" spans="30:32" ht="22.5" customHeight="1" x14ac:dyDescent="0.25">
      <c r="AD51" s="97"/>
      <c r="AE51" s="97"/>
      <c r="AF51" s="97"/>
    </row>
    <row r="52" spans="30:32" ht="22.5" customHeight="1" x14ac:dyDescent="0.25">
      <c r="AD52" s="97"/>
      <c r="AE52" s="97"/>
      <c r="AF52" s="97"/>
    </row>
    <row r="53" spans="30:32" ht="22.5" customHeight="1" x14ac:dyDescent="0.25">
      <c r="AD53" s="97"/>
      <c r="AE53" s="97"/>
      <c r="AF53" s="97"/>
    </row>
    <row r="54" spans="30:32" ht="22.5" customHeight="1" x14ac:dyDescent="0.25">
      <c r="AD54" s="97"/>
      <c r="AE54" s="97"/>
      <c r="AF54" s="97"/>
    </row>
    <row r="55" spans="30:32" ht="22.5" customHeight="1" x14ac:dyDescent="0.25">
      <c r="AD55" s="97"/>
      <c r="AE55" s="97"/>
      <c r="AF55" s="97"/>
    </row>
    <row r="56" spans="30:32" ht="22.5" customHeight="1" x14ac:dyDescent="0.25">
      <c r="AD56" s="97"/>
      <c r="AE56" s="97"/>
      <c r="AF56" s="97"/>
    </row>
    <row r="57" spans="30:32" ht="22.5" customHeight="1" x14ac:dyDescent="0.25">
      <c r="AD57" s="97"/>
      <c r="AE57" s="97"/>
      <c r="AF57" s="97"/>
    </row>
    <row r="58" spans="30:32" ht="22.5" customHeight="1" x14ac:dyDescent="0.25">
      <c r="AD58" s="97"/>
      <c r="AE58" s="97"/>
      <c r="AF58" s="97"/>
    </row>
    <row r="59" spans="30:32" ht="22.5" customHeight="1" x14ac:dyDescent="0.25">
      <c r="AD59" s="97"/>
      <c r="AE59" s="97"/>
      <c r="AF59" s="97"/>
    </row>
    <row r="60" spans="30:32" ht="22.5" customHeight="1" x14ac:dyDescent="0.25">
      <c r="AD60" s="97"/>
      <c r="AE60" s="97"/>
      <c r="AF60" s="97"/>
    </row>
    <row r="61" spans="30:32" ht="22.5" customHeight="1" x14ac:dyDescent="0.25">
      <c r="AD61" s="97"/>
      <c r="AE61" s="97"/>
      <c r="AF61" s="97"/>
    </row>
    <row r="62" spans="30:32" ht="22.5" customHeight="1" x14ac:dyDescent="0.25">
      <c r="AD62" s="97"/>
      <c r="AE62" s="97"/>
      <c r="AF62" s="97"/>
    </row>
    <row r="63" spans="30:32" ht="22.5" customHeight="1" x14ac:dyDescent="0.25">
      <c r="AD63" s="97"/>
      <c r="AE63" s="97"/>
      <c r="AF63" s="97"/>
    </row>
    <row r="64" spans="30:32" ht="22.5" customHeight="1" x14ac:dyDescent="0.25">
      <c r="AD64" s="97"/>
      <c r="AE64" s="97"/>
      <c r="AF64" s="97"/>
    </row>
    <row r="65" spans="30:32" ht="22.5" customHeight="1" x14ac:dyDescent="0.25">
      <c r="AD65" s="97"/>
      <c r="AE65" s="97"/>
      <c r="AF65" s="97"/>
    </row>
    <row r="66" spans="30:32" ht="22.5" customHeight="1" x14ac:dyDescent="0.25">
      <c r="AD66" s="97"/>
      <c r="AE66" s="97"/>
      <c r="AF66" s="97"/>
    </row>
    <row r="67" spans="30:32" ht="22.5" customHeight="1" x14ac:dyDescent="0.25">
      <c r="AD67" s="97"/>
      <c r="AE67" s="97"/>
      <c r="AF67" s="97"/>
    </row>
    <row r="68" spans="30:32" ht="22.5" customHeight="1" x14ac:dyDescent="0.25">
      <c r="AD68" s="97"/>
      <c r="AE68" s="97"/>
      <c r="AF68" s="97"/>
    </row>
    <row r="69" spans="30:32" ht="22.5" customHeight="1" x14ac:dyDescent="0.25">
      <c r="AD69" s="97"/>
      <c r="AE69" s="97"/>
      <c r="AF69" s="97"/>
    </row>
    <row r="70" spans="30:32" ht="22.5" customHeight="1" x14ac:dyDescent="0.25">
      <c r="AD70" s="97"/>
      <c r="AE70" s="97"/>
      <c r="AF70" s="97"/>
    </row>
    <row r="71" spans="30:32" ht="22.5" customHeight="1" x14ac:dyDescent="0.25">
      <c r="AD71" s="97"/>
      <c r="AE71" s="97"/>
      <c r="AF71" s="97"/>
    </row>
    <row r="72" spans="30:32" ht="22.5" customHeight="1" x14ac:dyDescent="0.25">
      <c r="AD72" s="97"/>
      <c r="AE72" s="97"/>
      <c r="AF72" s="97"/>
    </row>
    <row r="73" spans="30:32" ht="22.5" customHeight="1" x14ac:dyDescent="0.25">
      <c r="AD73" s="97"/>
      <c r="AE73" s="97"/>
      <c r="AF73" s="97"/>
    </row>
    <row r="74" spans="30:32" ht="22.5" customHeight="1" x14ac:dyDescent="0.25">
      <c r="AD74" s="97"/>
      <c r="AE74" s="97"/>
      <c r="AF74" s="97"/>
    </row>
    <row r="75" spans="30:32" ht="22.5" customHeight="1" x14ac:dyDescent="0.25">
      <c r="AD75" s="97"/>
      <c r="AE75" s="97"/>
      <c r="AF75" s="97"/>
    </row>
    <row r="76" spans="30:32" ht="22.5" customHeight="1" x14ac:dyDescent="0.25">
      <c r="AD76" s="97"/>
      <c r="AE76" s="97"/>
      <c r="AF76" s="97"/>
    </row>
    <row r="77" spans="30:32" ht="22.5" customHeight="1" x14ac:dyDescent="0.25">
      <c r="AD77" s="97"/>
      <c r="AE77" s="97"/>
      <c r="AF77" s="97"/>
    </row>
    <row r="78" spans="30:32" ht="22.5" customHeight="1" x14ac:dyDescent="0.25">
      <c r="AD78" s="97"/>
      <c r="AE78" s="97"/>
      <c r="AF78" s="97"/>
    </row>
    <row r="79" spans="30:32" ht="22.5" customHeight="1" x14ac:dyDescent="0.25">
      <c r="AD79" s="97"/>
      <c r="AE79" s="97"/>
      <c r="AF79" s="97"/>
    </row>
    <row r="80" spans="30:32" ht="22.5" customHeight="1" x14ac:dyDescent="0.25">
      <c r="AD80" s="97"/>
      <c r="AE80" s="97"/>
      <c r="AF80" s="97"/>
    </row>
    <row r="81" spans="30:32" ht="22.5" customHeight="1" x14ac:dyDescent="0.25">
      <c r="AD81" s="97"/>
      <c r="AE81" s="97"/>
      <c r="AF81" s="97"/>
    </row>
    <row r="82" spans="30:32" ht="22.5" customHeight="1" x14ac:dyDescent="0.25">
      <c r="AD82" s="97"/>
      <c r="AE82" s="97"/>
      <c r="AF82" s="97"/>
    </row>
    <row r="83" spans="30:32" ht="22.5" customHeight="1" x14ac:dyDescent="0.25">
      <c r="AD83" s="97"/>
      <c r="AE83" s="97"/>
      <c r="AF83" s="97"/>
    </row>
    <row r="84" spans="30:32" ht="22.5" customHeight="1" x14ac:dyDescent="0.25">
      <c r="AD84" s="97"/>
      <c r="AE84" s="97"/>
      <c r="AF84" s="97"/>
    </row>
    <row r="85" spans="30:32" ht="22.5" customHeight="1" x14ac:dyDescent="0.25">
      <c r="AD85" s="97"/>
      <c r="AE85" s="97"/>
      <c r="AF85" s="97"/>
    </row>
    <row r="86" spans="30:32" ht="22.5" customHeight="1" x14ac:dyDescent="0.25">
      <c r="AD86" s="97"/>
      <c r="AE86" s="97"/>
      <c r="AF86" s="97"/>
    </row>
    <row r="87" spans="30:32" ht="22.5" customHeight="1" x14ac:dyDescent="0.25">
      <c r="AD87" s="97"/>
      <c r="AE87" s="97"/>
      <c r="AF87" s="97"/>
    </row>
    <row r="88" spans="30:32" ht="22.5" customHeight="1" x14ac:dyDescent="0.25">
      <c r="AD88" s="97"/>
      <c r="AE88" s="97"/>
      <c r="AF88" s="97"/>
    </row>
    <row r="89" spans="30:32" ht="22.5" customHeight="1" x14ac:dyDescent="0.25">
      <c r="AD89" s="97"/>
      <c r="AE89" s="97"/>
      <c r="AF89" s="97"/>
    </row>
    <row r="90" spans="30:32" ht="22.5" customHeight="1" x14ac:dyDescent="0.25">
      <c r="AD90" s="97"/>
      <c r="AE90" s="97"/>
      <c r="AF90" s="97"/>
    </row>
    <row r="91" spans="30:32" ht="22.5" customHeight="1" x14ac:dyDescent="0.25">
      <c r="AD91" s="97"/>
      <c r="AE91" s="97"/>
      <c r="AF91" s="97"/>
    </row>
    <row r="92" spans="30:32" ht="22.5" customHeight="1" x14ac:dyDescent="0.25">
      <c r="AD92" s="97"/>
      <c r="AE92" s="97"/>
      <c r="AF92" s="97"/>
    </row>
    <row r="93" spans="30:32" ht="22.5" customHeight="1" x14ac:dyDescent="0.25">
      <c r="AD93" s="97"/>
      <c r="AE93" s="97"/>
      <c r="AF93" s="97"/>
    </row>
    <row r="94" spans="30:32" ht="22.5" customHeight="1" x14ac:dyDescent="0.25">
      <c r="AD94" s="97"/>
      <c r="AE94" s="97"/>
      <c r="AF94" s="97"/>
    </row>
    <row r="95" spans="30:32" ht="22.5" customHeight="1" x14ac:dyDescent="0.25">
      <c r="AD95" s="97"/>
      <c r="AE95" s="97"/>
      <c r="AF95" s="97"/>
    </row>
    <row r="96" spans="30:32" ht="22.5" customHeight="1" x14ac:dyDescent="0.25">
      <c r="AD96" s="97"/>
      <c r="AE96" s="97"/>
      <c r="AF96" s="97"/>
    </row>
    <row r="97" spans="30:32" ht="22.5" customHeight="1" x14ac:dyDescent="0.25">
      <c r="AD97" s="97"/>
      <c r="AE97" s="97"/>
      <c r="AF97" s="97"/>
    </row>
    <row r="98" spans="30:32" ht="22.5" customHeight="1" x14ac:dyDescent="0.25">
      <c r="AD98" s="97"/>
      <c r="AE98" s="97"/>
      <c r="AF98" s="97"/>
    </row>
    <row r="99" spans="30:32" ht="22.5" customHeight="1" x14ac:dyDescent="0.25">
      <c r="AD99" s="97"/>
      <c r="AE99" s="97"/>
      <c r="AF99" s="97"/>
    </row>
    <row r="100" spans="30:32" ht="22.5" customHeight="1" x14ac:dyDescent="0.25">
      <c r="AD100" s="97"/>
      <c r="AE100" s="97"/>
      <c r="AF100" s="97"/>
    </row>
    <row r="101" spans="30:32" ht="22.5" customHeight="1" x14ac:dyDescent="0.25">
      <c r="AD101" s="97"/>
      <c r="AE101" s="97"/>
      <c r="AF101" s="97"/>
    </row>
    <row r="102" spans="30:32" ht="22.5" customHeight="1" x14ac:dyDescent="0.25">
      <c r="AD102" s="97"/>
      <c r="AE102" s="97"/>
      <c r="AF102" s="97"/>
    </row>
    <row r="103" spans="30:32" ht="22.5" customHeight="1" x14ac:dyDescent="0.25">
      <c r="AD103" s="97"/>
      <c r="AE103" s="97"/>
      <c r="AF103" s="97"/>
    </row>
    <row r="104" spans="30:32" ht="22.5" customHeight="1" x14ac:dyDescent="0.25">
      <c r="AD104" s="97"/>
      <c r="AE104" s="97"/>
      <c r="AF104" s="97"/>
    </row>
    <row r="105" spans="30:32" ht="22.5" customHeight="1" x14ac:dyDescent="0.25">
      <c r="AD105" s="97"/>
      <c r="AE105" s="97"/>
      <c r="AF105" s="97"/>
    </row>
    <row r="106" spans="30:32" ht="22.5" customHeight="1" x14ac:dyDescent="0.25">
      <c r="AD106" s="97"/>
      <c r="AE106" s="97"/>
      <c r="AF106" s="97"/>
    </row>
    <row r="107" spans="30:32" ht="22.5" customHeight="1" x14ac:dyDescent="0.25">
      <c r="AD107" s="97"/>
      <c r="AE107" s="97"/>
      <c r="AF107" s="97"/>
    </row>
    <row r="108" spans="30:32" ht="22.5" customHeight="1" x14ac:dyDescent="0.25">
      <c r="AD108" s="97"/>
      <c r="AE108" s="97"/>
      <c r="AF108" s="97"/>
    </row>
    <row r="109" spans="30:32" ht="22.5" customHeight="1" x14ac:dyDescent="0.25">
      <c r="AD109" s="97"/>
      <c r="AE109" s="97"/>
      <c r="AF109" s="97"/>
    </row>
    <row r="110" spans="30:32" ht="22.5" customHeight="1" x14ac:dyDescent="0.25">
      <c r="AD110" s="97"/>
      <c r="AE110" s="97"/>
      <c r="AF110" s="97"/>
    </row>
    <row r="111" spans="30:32" ht="22.5" customHeight="1" x14ac:dyDescent="0.25">
      <c r="AD111" s="97"/>
      <c r="AE111" s="97"/>
      <c r="AF111" s="97"/>
    </row>
    <row r="112" spans="30:32" ht="22.5" customHeight="1" x14ac:dyDescent="0.25">
      <c r="AD112" s="97"/>
      <c r="AE112" s="97"/>
      <c r="AF112" s="97"/>
    </row>
    <row r="113" spans="30:32" ht="22.5" customHeight="1" x14ac:dyDescent="0.25">
      <c r="AD113" s="97"/>
      <c r="AE113" s="97"/>
      <c r="AF113" s="97"/>
    </row>
    <row r="114" spans="30:32" ht="22.5" customHeight="1" x14ac:dyDescent="0.25">
      <c r="AD114" s="97"/>
      <c r="AE114" s="97"/>
      <c r="AF114" s="97"/>
    </row>
    <row r="115" spans="30:32" ht="22.5" customHeight="1" x14ac:dyDescent="0.25">
      <c r="AD115" s="97"/>
      <c r="AE115" s="97"/>
      <c r="AF115" s="97"/>
    </row>
    <row r="116" spans="30:32" ht="22.5" customHeight="1" x14ac:dyDescent="0.25">
      <c r="AD116" s="97"/>
      <c r="AE116" s="97"/>
      <c r="AF116" s="97"/>
    </row>
    <row r="117" spans="30:32" ht="22.5" customHeight="1" x14ac:dyDescent="0.25">
      <c r="AD117" s="97"/>
      <c r="AE117" s="97"/>
      <c r="AF117" s="97"/>
    </row>
    <row r="118" spans="30:32" ht="22.5" customHeight="1" x14ac:dyDescent="0.25">
      <c r="AD118" s="97"/>
      <c r="AE118" s="97"/>
      <c r="AF118" s="97"/>
    </row>
    <row r="119" spans="30:32" ht="22.5" customHeight="1" x14ac:dyDescent="0.25">
      <c r="AD119" s="97"/>
      <c r="AE119" s="97"/>
      <c r="AF119" s="97"/>
    </row>
    <row r="120" spans="30:32" ht="22.5" customHeight="1" x14ac:dyDescent="0.25">
      <c r="AD120" s="97"/>
      <c r="AE120" s="97"/>
      <c r="AF120" s="97"/>
    </row>
    <row r="121" spans="30:32" ht="22.5" customHeight="1" x14ac:dyDescent="0.25">
      <c r="AD121" s="97"/>
      <c r="AE121" s="97"/>
      <c r="AF121" s="97"/>
    </row>
    <row r="122" spans="30:32" ht="22.5" customHeight="1" x14ac:dyDescent="0.25">
      <c r="AD122" s="97"/>
      <c r="AE122" s="97"/>
      <c r="AF122" s="97"/>
    </row>
    <row r="123" spans="30:32" ht="22.5" customHeight="1" x14ac:dyDescent="0.25">
      <c r="AD123" s="97"/>
      <c r="AE123" s="97"/>
      <c r="AF123" s="97"/>
    </row>
    <row r="124" spans="30:32" ht="22.5" customHeight="1" x14ac:dyDescent="0.25">
      <c r="AD124" s="97"/>
      <c r="AE124" s="97"/>
      <c r="AF124" s="97"/>
    </row>
    <row r="125" spans="30:32" ht="22.5" customHeight="1" x14ac:dyDescent="0.25">
      <c r="AD125" s="97"/>
      <c r="AE125" s="97"/>
      <c r="AF125" s="97"/>
    </row>
    <row r="126" spans="30:32" ht="22.5" customHeight="1" x14ac:dyDescent="0.25">
      <c r="AD126" s="97"/>
      <c r="AE126" s="97"/>
      <c r="AF126" s="97"/>
    </row>
    <row r="127" spans="30:32" ht="22.5" customHeight="1" x14ac:dyDescent="0.25">
      <c r="AD127" s="97"/>
      <c r="AE127" s="97"/>
      <c r="AF127" s="97"/>
    </row>
    <row r="128" spans="30:32" ht="22.5" customHeight="1" x14ac:dyDescent="0.25">
      <c r="AD128" s="97"/>
      <c r="AE128" s="97"/>
      <c r="AF128" s="97"/>
    </row>
    <row r="129" spans="30:32" ht="22.5" customHeight="1" x14ac:dyDescent="0.25">
      <c r="AD129" s="97"/>
      <c r="AE129" s="97"/>
      <c r="AF129" s="97"/>
    </row>
    <row r="130" spans="30:32" ht="22.5" customHeight="1" x14ac:dyDescent="0.25">
      <c r="AD130" s="97"/>
      <c r="AE130" s="97"/>
      <c r="AF130" s="97"/>
    </row>
    <row r="131" spans="30:32" ht="22.5" customHeight="1" x14ac:dyDescent="0.25">
      <c r="AD131" s="97"/>
      <c r="AE131" s="97"/>
      <c r="AF131" s="97"/>
    </row>
    <row r="132" spans="30:32" ht="22.5" customHeight="1" x14ac:dyDescent="0.25">
      <c r="AD132" s="97"/>
      <c r="AE132" s="97"/>
      <c r="AF132" s="97"/>
    </row>
    <row r="133" spans="30:32" ht="22.5" customHeight="1" x14ac:dyDescent="0.25">
      <c r="AD133" s="97"/>
      <c r="AE133" s="97"/>
      <c r="AF133" s="97"/>
    </row>
    <row r="134" spans="30:32" ht="22.5" customHeight="1" x14ac:dyDescent="0.25">
      <c r="AD134" s="97"/>
      <c r="AE134" s="97"/>
      <c r="AF134" s="97"/>
    </row>
    <row r="135" spans="30:32" ht="22.5" customHeight="1" x14ac:dyDescent="0.25">
      <c r="AD135" s="97"/>
      <c r="AE135" s="97"/>
      <c r="AF135" s="97"/>
    </row>
    <row r="136" spans="30:32" ht="22.5" customHeight="1" x14ac:dyDescent="0.25">
      <c r="AD136" s="97"/>
      <c r="AE136" s="97"/>
      <c r="AF136" s="97"/>
    </row>
    <row r="137" spans="30:32" ht="22.5" customHeight="1" x14ac:dyDescent="0.25">
      <c r="AD137" s="97"/>
      <c r="AE137" s="97"/>
      <c r="AF137" s="97"/>
    </row>
    <row r="138" spans="30:32" ht="22.5" customHeight="1" x14ac:dyDescent="0.25">
      <c r="AD138" s="97"/>
      <c r="AE138" s="97"/>
      <c r="AF138" s="97"/>
    </row>
    <row r="139" spans="30:32" ht="22.5" customHeight="1" x14ac:dyDescent="0.25">
      <c r="AD139" s="97"/>
      <c r="AE139" s="97"/>
      <c r="AF139" s="97"/>
    </row>
    <row r="140" spans="30:32" ht="22.5" customHeight="1" x14ac:dyDescent="0.25">
      <c r="AD140" s="97"/>
      <c r="AE140" s="97"/>
      <c r="AF140" s="97"/>
    </row>
    <row r="141" spans="30:32" ht="22.5" customHeight="1" x14ac:dyDescent="0.25">
      <c r="AD141" s="97"/>
      <c r="AE141" s="97"/>
      <c r="AF141" s="97"/>
    </row>
    <row r="142" spans="30:32" ht="22.5" customHeight="1" x14ac:dyDescent="0.25">
      <c r="AD142" s="97"/>
      <c r="AE142" s="97"/>
      <c r="AF142" s="97"/>
    </row>
    <row r="143" spans="30:32" ht="22.5" customHeight="1" x14ac:dyDescent="0.25">
      <c r="AD143" s="97"/>
      <c r="AE143" s="97"/>
      <c r="AF143" s="97"/>
    </row>
    <row r="144" spans="30:32" ht="22.5" customHeight="1" x14ac:dyDescent="0.25">
      <c r="AD144" s="97"/>
      <c r="AE144" s="97"/>
      <c r="AF144" s="97"/>
    </row>
    <row r="145" spans="30:32" ht="22.5" customHeight="1" x14ac:dyDescent="0.25">
      <c r="AD145" s="97"/>
      <c r="AE145" s="97"/>
      <c r="AF145" s="97"/>
    </row>
    <row r="146" spans="30:32" ht="22.5" customHeight="1" x14ac:dyDescent="0.25">
      <c r="AD146" s="97"/>
      <c r="AE146" s="97"/>
      <c r="AF146" s="97"/>
    </row>
    <row r="147" spans="30:32" ht="22.5" customHeight="1" x14ac:dyDescent="0.25">
      <c r="AD147" s="97"/>
      <c r="AE147" s="97"/>
      <c r="AF147" s="97"/>
    </row>
    <row r="148" spans="30:32" ht="22.5" customHeight="1" x14ac:dyDescent="0.25">
      <c r="AD148" s="97"/>
      <c r="AE148" s="97"/>
      <c r="AF148" s="97"/>
    </row>
    <row r="149" spans="30:32" ht="22.5" customHeight="1" x14ac:dyDescent="0.25">
      <c r="AD149" s="97"/>
      <c r="AE149" s="97"/>
      <c r="AF149" s="97"/>
    </row>
    <row r="150" spans="30:32" ht="22.5" customHeight="1" x14ac:dyDescent="0.25">
      <c r="AD150" s="97"/>
      <c r="AE150" s="97"/>
      <c r="AF150" s="97"/>
    </row>
    <row r="151" spans="30:32" ht="22.5" customHeight="1" x14ac:dyDescent="0.25">
      <c r="AD151" s="97"/>
      <c r="AE151" s="97"/>
      <c r="AF151" s="97"/>
    </row>
    <row r="152" spans="30:32" ht="22.5" customHeight="1" x14ac:dyDescent="0.25">
      <c r="AD152" s="97"/>
      <c r="AE152" s="97"/>
      <c r="AF152" s="97"/>
    </row>
    <row r="153" spans="30:32" ht="22.5" customHeight="1" x14ac:dyDescent="0.25">
      <c r="AD153" s="97"/>
      <c r="AE153" s="97"/>
      <c r="AF153" s="97"/>
    </row>
    <row r="154" spans="30:32" ht="22.5" customHeight="1" x14ac:dyDescent="0.25">
      <c r="AD154" s="97"/>
      <c r="AE154" s="97"/>
      <c r="AF154" s="97"/>
    </row>
    <row r="155" spans="30:32" ht="22.5" customHeight="1" x14ac:dyDescent="0.25">
      <c r="AD155" s="97"/>
      <c r="AE155" s="97"/>
      <c r="AF155" s="97"/>
    </row>
    <row r="156" spans="30:32" ht="22.5" customHeight="1" x14ac:dyDescent="0.25">
      <c r="AD156" s="97"/>
      <c r="AE156" s="97"/>
      <c r="AF156" s="97"/>
    </row>
    <row r="157" spans="30:32" ht="22.5" customHeight="1" x14ac:dyDescent="0.25">
      <c r="AD157" s="97"/>
      <c r="AE157" s="97"/>
      <c r="AF157" s="97"/>
    </row>
    <row r="158" spans="30:32" ht="22.5" customHeight="1" x14ac:dyDescent="0.25">
      <c r="AD158" s="97"/>
      <c r="AE158" s="97"/>
      <c r="AF158" s="97"/>
    </row>
    <row r="159" spans="30:32" ht="22.5" customHeight="1" x14ac:dyDescent="0.25">
      <c r="AD159" s="97"/>
      <c r="AE159" s="97"/>
      <c r="AF159" s="97"/>
    </row>
    <row r="160" spans="30:32" ht="22.5" customHeight="1" x14ac:dyDescent="0.25">
      <c r="AD160" s="97"/>
      <c r="AE160" s="97"/>
      <c r="AF160" s="97"/>
    </row>
    <row r="161" spans="30:32" ht="22.5" customHeight="1" x14ac:dyDescent="0.25">
      <c r="AD161" s="97"/>
      <c r="AE161" s="97"/>
      <c r="AF161" s="97"/>
    </row>
    <row r="162" spans="30:32" ht="22.5" customHeight="1" x14ac:dyDescent="0.25">
      <c r="AD162" s="97"/>
      <c r="AE162" s="97"/>
      <c r="AF162" s="97"/>
    </row>
    <row r="163" spans="30:32" ht="22.5" customHeight="1" x14ac:dyDescent="0.25">
      <c r="AD163" s="97"/>
      <c r="AE163" s="97"/>
      <c r="AF163" s="97"/>
    </row>
    <row r="164" spans="30:32" ht="22.5" customHeight="1" x14ac:dyDescent="0.25">
      <c r="AD164" s="97"/>
      <c r="AE164" s="97"/>
      <c r="AF164" s="97"/>
    </row>
    <row r="165" spans="30:32" ht="22.5" customHeight="1" x14ac:dyDescent="0.25">
      <c r="AD165" s="97"/>
      <c r="AE165" s="97"/>
      <c r="AF165" s="97"/>
    </row>
    <row r="166" spans="30:32" ht="22.5" customHeight="1" x14ac:dyDescent="0.25">
      <c r="AD166" s="97"/>
      <c r="AE166" s="97"/>
      <c r="AF166" s="97"/>
    </row>
    <row r="167" spans="30:32" ht="22.5" customHeight="1" x14ac:dyDescent="0.25">
      <c r="AD167" s="97"/>
      <c r="AE167" s="97"/>
      <c r="AF167" s="97"/>
    </row>
    <row r="168" spans="30:32" ht="22.5" customHeight="1" x14ac:dyDescent="0.25">
      <c r="AD168" s="97"/>
      <c r="AE168" s="97"/>
      <c r="AF168" s="97"/>
    </row>
    <row r="169" spans="30:32" ht="22.5" customHeight="1" x14ac:dyDescent="0.25">
      <c r="AD169" s="97"/>
      <c r="AE169" s="97"/>
      <c r="AF169" s="97"/>
    </row>
    <row r="170" spans="30:32" ht="22.5" customHeight="1" x14ac:dyDescent="0.25">
      <c r="AD170" s="97"/>
      <c r="AE170" s="97"/>
      <c r="AF170" s="97"/>
    </row>
    <row r="171" spans="30:32" ht="22.5" customHeight="1" x14ac:dyDescent="0.25">
      <c r="AD171" s="97"/>
      <c r="AE171" s="97"/>
      <c r="AF171" s="97"/>
    </row>
    <row r="172" spans="30:32" ht="22.5" customHeight="1" x14ac:dyDescent="0.25">
      <c r="AD172" s="97"/>
      <c r="AE172" s="97"/>
      <c r="AF172" s="97"/>
    </row>
    <row r="173" spans="30:32" ht="22.5" customHeight="1" x14ac:dyDescent="0.25">
      <c r="AD173" s="97"/>
      <c r="AE173" s="97"/>
      <c r="AF173" s="97"/>
    </row>
    <row r="174" spans="30:32" ht="22.5" customHeight="1" x14ac:dyDescent="0.25">
      <c r="AD174" s="97"/>
      <c r="AE174" s="97"/>
      <c r="AF174" s="97"/>
    </row>
    <row r="175" spans="30:32" ht="22.5" customHeight="1" x14ac:dyDescent="0.25">
      <c r="AD175" s="97"/>
      <c r="AE175" s="97"/>
      <c r="AF175" s="97"/>
    </row>
    <row r="176" spans="30:32" ht="22.5" customHeight="1" x14ac:dyDescent="0.25">
      <c r="AD176" s="97"/>
      <c r="AE176" s="97"/>
      <c r="AF176" s="97"/>
    </row>
    <row r="177" spans="30:32" ht="22.5" customHeight="1" x14ac:dyDescent="0.25">
      <c r="AD177" s="97"/>
      <c r="AE177" s="97"/>
      <c r="AF177" s="97"/>
    </row>
    <row r="178" spans="30:32" ht="22.5" customHeight="1" x14ac:dyDescent="0.25">
      <c r="AD178" s="97"/>
      <c r="AE178" s="97"/>
      <c r="AF178" s="97"/>
    </row>
    <row r="179" spans="30:32" ht="22.5" customHeight="1" x14ac:dyDescent="0.25">
      <c r="AD179" s="97"/>
      <c r="AE179" s="97"/>
      <c r="AF179" s="97"/>
    </row>
    <row r="180" spans="30:32" ht="22.5" customHeight="1" x14ac:dyDescent="0.25">
      <c r="AD180" s="97"/>
      <c r="AE180" s="97"/>
      <c r="AF180" s="97"/>
    </row>
    <row r="181" spans="30:32" ht="22.5" customHeight="1" x14ac:dyDescent="0.25">
      <c r="AD181" s="97"/>
      <c r="AE181" s="97"/>
      <c r="AF181" s="97"/>
    </row>
    <row r="182" spans="30:32" ht="22.5" customHeight="1" x14ac:dyDescent="0.25">
      <c r="AD182" s="97"/>
      <c r="AE182" s="97"/>
      <c r="AF182" s="97"/>
    </row>
    <row r="183" spans="30:32" ht="22.5" customHeight="1" x14ac:dyDescent="0.25">
      <c r="AD183" s="97"/>
      <c r="AE183" s="97"/>
      <c r="AF183" s="97"/>
    </row>
    <row r="184" spans="30:32" ht="22.5" customHeight="1" x14ac:dyDescent="0.25">
      <c r="AD184" s="97"/>
      <c r="AE184" s="97"/>
      <c r="AF184" s="97"/>
    </row>
    <row r="185" spans="30:32" ht="22.5" customHeight="1" x14ac:dyDescent="0.25">
      <c r="AD185" s="97"/>
      <c r="AE185" s="97"/>
      <c r="AF185" s="97"/>
    </row>
    <row r="186" spans="30:32" ht="22.5" customHeight="1" x14ac:dyDescent="0.25">
      <c r="AD186" s="97"/>
      <c r="AE186" s="97"/>
      <c r="AF186" s="97"/>
    </row>
    <row r="187" spans="30:32" ht="22.5" customHeight="1" x14ac:dyDescent="0.25">
      <c r="AD187" s="97"/>
      <c r="AE187" s="97"/>
      <c r="AF187" s="97"/>
    </row>
    <row r="188" spans="30:32" ht="22.5" customHeight="1" x14ac:dyDescent="0.25">
      <c r="AD188" s="97"/>
      <c r="AE188" s="97"/>
      <c r="AF188" s="97"/>
    </row>
    <row r="189" spans="30:32" ht="22.5" customHeight="1" x14ac:dyDescent="0.25">
      <c r="AD189" s="97"/>
      <c r="AE189" s="97"/>
      <c r="AF189" s="97"/>
    </row>
    <row r="190" spans="30:32" ht="22.5" customHeight="1" x14ac:dyDescent="0.25">
      <c r="AD190" s="97"/>
      <c r="AE190" s="97"/>
      <c r="AF190" s="97"/>
    </row>
    <row r="191" spans="30:32" ht="22.5" customHeight="1" x14ac:dyDescent="0.25">
      <c r="AD191" s="97"/>
      <c r="AE191" s="97"/>
      <c r="AF191" s="97"/>
    </row>
    <row r="192" spans="30:32" ht="22.5" customHeight="1" x14ac:dyDescent="0.25">
      <c r="AD192" s="97"/>
      <c r="AE192" s="97"/>
      <c r="AF192" s="97"/>
    </row>
    <row r="193" spans="30:32" ht="22.5" customHeight="1" x14ac:dyDescent="0.25">
      <c r="AD193" s="97"/>
      <c r="AE193" s="97"/>
      <c r="AF193" s="97"/>
    </row>
    <row r="194" spans="30:32" ht="22.5" customHeight="1" x14ac:dyDescent="0.25">
      <c r="AD194" s="97"/>
      <c r="AE194" s="97"/>
      <c r="AF194" s="97"/>
    </row>
    <row r="195" spans="30:32" ht="22.5" customHeight="1" x14ac:dyDescent="0.25">
      <c r="AD195" s="97"/>
      <c r="AE195" s="97"/>
      <c r="AF195" s="97"/>
    </row>
    <row r="196" spans="30:32" ht="22.5" customHeight="1" x14ac:dyDescent="0.25">
      <c r="AD196" s="97"/>
      <c r="AE196" s="97"/>
      <c r="AF196" s="97"/>
    </row>
    <row r="197" spans="30:32" ht="22.5" customHeight="1" x14ac:dyDescent="0.25">
      <c r="AD197" s="97"/>
      <c r="AE197" s="97"/>
      <c r="AF197" s="97"/>
    </row>
    <row r="198" spans="30:32" ht="22.5" customHeight="1" x14ac:dyDescent="0.25">
      <c r="AD198" s="97"/>
      <c r="AE198" s="97"/>
      <c r="AF198" s="97"/>
    </row>
    <row r="199" spans="30:32" ht="22.5" customHeight="1" x14ac:dyDescent="0.25">
      <c r="AD199" s="97"/>
      <c r="AE199" s="97"/>
      <c r="AF199" s="97"/>
    </row>
    <row r="200" spans="30:32" ht="22.5" customHeight="1" x14ac:dyDescent="0.25">
      <c r="AD200" s="97"/>
      <c r="AE200" s="97"/>
      <c r="AF200" s="97"/>
    </row>
    <row r="201" spans="30:32" ht="22.5" customHeight="1" x14ac:dyDescent="0.25">
      <c r="AD201" s="97"/>
      <c r="AE201" s="97"/>
      <c r="AF201" s="97"/>
    </row>
    <row r="202" spans="30:32" ht="22.5" customHeight="1" x14ac:dyDescent="0.25">
      <c r="AD202" s="97"/>
      <c r="AE202" s="97"/>
      <c r="AF202" s="97"/>
    </row>
    <row r="203" spans="30:32" ht="22.5" customHeight="1" x14ac:dyDescent="0.25">
      <c r="AD203" s="97"/>
      <c r="AE203" s="97"/>
      <c r="AF203" s="97"/>
    </row>
    <row r="204" spans="30:32" ht="22.5" customHeight="1" x14ac:dyDescent="0.25">
      <c r="AD204" s="97"/>
      <c r="AE204" s="97"/>
      <c r="AF204" s="97"/>
    </row>
    <row r="205" spans="30:32" ht="22.5" customHeight="1" x14ac:dyDescent="0.25">
      <c r="AD205" s="97"/>
      <c r="AE205" s="97"/>
      <c r="AF205" s="97"/>
    </row>
    <row r="206" spans="30:32" ht="22.5" customHeight="1" x14ac:dyDescent="0.25">
      <c r="AD206" s="97"/>
      <c r="AE206" s="97"/>
      <c r="AF206" s="97"/>
    </row>
    <row r="207" spans="30:32" ht="22.5" customHeight="1" x14ac:dyDescent="0.25">
      <c r="AD207" s="97"/>
      <c r="AE207" s="97"/>
      <c r="AF207" s="97"/>
    </row>
    <row r="208" spans="30:32" ht="22.5" customHeight="1" x14ac:dyDescent="0.25">
      <c r="AD208" s="96"/>
      <c r="AE208" s="96"/>
      <c r="AF208" s="96"/>
    </row>
    <row r="209" spans="30:32" ht="22.5" customHeight="1" x14ac:dyDescent="0.25">
      <c r="AD209" s="96"/>
      <c r="AE209" s="96"/>
      <c r="AF209" s="96"/>
    </row>
  </sheetData>
  <autoFilter ref="A3:AT3" xr:uid="{00000000-0001-0000-0300-000000000000}">
    <filterColumn colId="1" showButton="0"/>
  </autoFilter>
  <mergeCells count="12">
    <mergeCell ref="A1:S1"/>
    <mergeCell ref="B2:G2"/>
    <mergeCell ref="H2:N2"/>
    <mergeCell ref="O2:Q2"/>
    <mergeCell ref="B3:C3"/>
    <mergeCell ref="S2:S3"/>
    <mergeCell ref="B13:M13"/>
    <mergeCell ref="T2:T3"/>
    <mergeCell ref="A2:A3"/>
    <mergeCell ref="B5:B12"/>
    <mergeCell ref="C5:C12"/>
    <mergeCell ref="D5:D12"/>
  </mergeCells>
  <phoneticPr fontId="9" type="noConversion"/>
  <conditionalFormatting sqref="AD1:AF1048576">
    <cfRule type="cellIs" dxfId="1" priority="1" operator="equal">
      <formula>0</formula>
    </cfRule>
  </conditionalFormatting>
  <dataValidations count="2">
    <dataValidation type="list" allowBlank="1" showInputMessage="1" showErrorMessage="1" sqref="F5:F12" xr:uid="{00000000-0002-0000-0300-000000000000}">
      <formula1>"简单,中等,复杂"</formula1>
    </dataValidation>
    <dataValidation type="list" allowBlank="1" showInputMessage="1" showErrorMessage="1" sqref="O5:O12" xr:uid="{00000000-0002-0000-0300-000001000000}">
      <formula1>"甲级,乙级,丙级"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 tint="0.59999389629810485"/>
    <outlinePr summaryBelow="0" summaryRight="0"/>
  </sheetPr>
  <dimension ref="A1:AU218"/>
  <sheetViews>
    <sheetView zoomScale="85" zoomScaleNormal="85" workbookViewId="0">
      <pane xSplit="7" ySplit="3" topLeftCell="H5" activePane="bottomRight" state="frozen"/>
      <selection sqref="A1:R1"/>
      <selection pane="topRight" sqref="A1:R1"/>
      <selection pane="bottomLeft" sqref="A1:R1"/>
      <selection pane="bottomRight" activeCell="M6" sqref="M6"/>
    </sheetView>
  </sheetViews>
  <sheetFormatPr defaultColWidth="9" defaultRowHeight="22.5" customHeight="1" outlineLevelRow="1" outlineLevelCol="2" x14ac:dyDescent="0.25"/>
  <cols>
    <col min="1" max="1" width="5.6640625" style="2" customWidth="1"/>
    <col min="2" max="2" width="5.44140625" style="92" customWidth="1"/>
    <col min="3" max="3" width="7.6640625" style="157" customWidth="1"/>
    <col min="4" max="4" width="8.5546875" style="2" customWidth="1"/>
    <col min="5" max="5" width="12.109375" style="3" customWidth="1"/>
    <col min="6" max="6" width="7.44140625" style="2" customWidth="1"/>
    <col min="7" max="7" width="9.21875" style="2" customWidth="1"/>
    <col min="8" max="8" width="12.6640625" style="4" customWidth="1"/>
    <col min="9" max="9" width="9.88671875" style="2" customWidth="1" collapsed="1"/>
    <col min="10" max="11" width="9" style="2" hidden="1" customWidth="1" outlineLevel="1"/>
    <col min="12" max="12" width="15.77734375" style="2" hidden="1" customWidth="1" outlineLevel="1"/>
    <col min="13" max="13" width="10.77734375" style="6" customWidth="1"/>
    <col min="14" max="14" width="10.77734375" style="7" customWidth="1" outlineLevel="1"/>
    <col min="15" max="15" width="9.21875" style="2" customWidth="1"/>
    <col min="16" max="16" width="11.109375" style="8" customWidth="1"/>
    <col min="17" max="17" width="9.77734375" style="9" customWidth="1" outlineLevel="1"/>
    <col min="18" max="18" width="11.21875" style="9" customWidth="1"/>
    <col min="19" max="20" width="18.6640625" style="2" customWidth="1"/>
    <col min="21" max="21" width="4.88671875" style="104" customWidth="1"/>
    <col min="22" max="22" width="9" style="1" collapsed="1"/>
    <col min="23" max="23" width="28.88671875" style="152" hidden="1" customWidth="1" outlineLevel="2"/>
    <col min="24" max="24" width="12.21875" style="65" hidden="1" customWidth="1" outlineLevel="1" collapsed="1"/>
    <col min="25" max="25" width="22.33203125" style="105" hidden="1" customWidth="1" outlineLevel="2"/>
    <col min="26" max="26" width="14.109375" style="65" hidden="1" customWidth="1" outlineLevel="1" collapsed="1"/>
    <col min="27" max="27" width="18.5546875" style="105" hidden="1" customWidth="1" outlineLevel="2"/>
    <col min="28" max="28" width="13.21875" style="79" hidden="1" customWidth="1" outlineLevel="1" collapsed="1"/>
    <col min="29" max="29" width="18.5546875" style="105" hidden="1" customWidth="1" outlineLevel="2"/>
    <col min="30" max="30" width="0" style="95" hidden="1" customWidth="1" outlineLevel="1" collapsed="1"/>
    <col min="31" max="32" width="9" style="95" hidden="1" customWidth="1" outlineLevel="2"/>
    <col min="33" max="35" width="11.109375" style="95" hidden="1" customWidth="1" outlineLevel="2"/>
    <col min="36" max="36" width="11.88671875" style="95" hidden="1" customWidth="1" outlineLevel="1" collapsed="1"/>
    <col min="37" max="38" width="7.21875" style="95" hidden="1" customWidth="1" outlineLevel="2"/>
    <col min="39" max="41" width="18.33203125" style="95" hidden="1" customWidth="1" outlineLevel="2"/>
    <col min="42" max="42" width="0" style="1" hidden="1" customWidth="1" outlineLevel="1" collapsed="1"/>
    <col min="43" max="46" width="9" style="1" hidden="1" customWidth="1" outlineLevel="2"/>
    <col min="47" max="47" width="0" style="1" hidden="1" customWidth="1" outlineLevel="1"/>
    <col min="48" max="16384" width="9" style="1"/>
  </cols>
  <sheetData>
    <row r="1" spans="1:46" ht="36" customHeight="1" x14ac:dyDescent="0.25">
      <c r="A1" s="232" t="s">
        <v>380</v>
      </c>
      <c r="B1" s="233"/>
      <c r="C1" s="233"/>
      <c r="D1" s="233"/>
      <c r="E1" s="234"/>
      <c r="F1" s="233"/>
      <c r="G1" s="233"/>
      <c r="H1" s="235"/>
      <c r="I1" s="236"/>
      <c r="J1" s="237"/>
      <c r="K1" s="237"/>
      <c r="L1" s="237"/>
      <c r="M1" s="238"/>
      <c r="N1" s="239"/>
      <c r="O1" s="233"/>
      <c r="P1" s="240"/>
      <c r="Q1" s="241"/>
      <c r="R1" s="241"/>
      <c r="S1" s="242"/>
      <c r="T1" s="88"/>
      <c r="U1" s="93"/>
      <c r="X1" s="93"/>
      <c r="Z1" s="105"/>
      <c r="AB1" s="105"/>
    </row>
    <row r="2" spans="1:46" s="47" customFormat="1" ht="22.5" customHeight="1" x14ac:dyDescent="0.25">
      <c r="A2" s="209" t="s">
        <v>1</v>
      </c>
      <c r="B2" s="243" t="s">
        <v>21</v>
      </c>
      <c r="C2" s="243"/>
      <c r="D2" s="243"/>
      <c r="E2" s="243"/>
      <c r="F2" s="243"/>
      <c r="G2" s="243"/>
      <c r="H2" s="244" t="s">
        <v>469</v>
      </c>
      <c r="I2" s="209"/>
      <c r="J2" s="209"/>
      <c r="K2" s="209"/>
      <c r="L2" s="209"/>
      <c r="M2" s="209"/>
      <c r="N2" s="245"/>
      <c r="O2" s="209" t="s">
        <v>39</v>
      </c>
      <c r="P2" s="246"/>
      <c r="Q2" s="247"/>
      <c r="R2" s="32" t="s">
        <v>97</v>
      </c>
      <c r="S2" s="209" t="s">
        <v>24</v>
      </c>
      <c r="T2" s="209" t="s">
        <v>24</v>
      </c>
      <c r="U2" s="94"/>
      <c r="V2" s="151"/>
      <c r="W2" s="153"/>
      <c r="X2" s="109"/>
      <c r="Y2" s="109"/>
      <c r="Z2" s="109"/>
      <c r="AA2" s="109"/>
      <c r="AB2" s="109"/>
      <c r="AC2" s="109"/>
      <c r="AD2" s="127"/>
      <c r="AE2" s="96"/>
      <c r="AF2" s="96"/>
      <c r="AG2" s="96"/>
      <c r="AH2" s="96"/>
      <c r="AI2" s="96"/>
      <c r="AJ2" s="129"/>
      <c r="AK2" s="96"/>
      <c r="AL2" s="96"/>
      <c r="AM2" s="96"/>
      <c r="AN2" s="96"/>
      <c r="AO2" s="96"/>
      <c r="AP2" s="150"/>
      <c r="AQ2" s="137"/>
      <c r="AR2" s="137"/>
      <c r="AS2" s="137"/>
      <c r="AT2" s="137"/>
    </row>
    <row r="3" spans="1:46" s="47" customFormat="1" ht="37.049999999999997" customHeight="1" collapsed="1" x14ac:dyDescent="0.25">
      <c r="A3" s="218"/>
      <c r="B3" s="209" t="s">
        <v>2</v>
      </c>
      <c r="C3" s="209"/>
      <c r="D3" s="11" t="s">
        <v>43</v>
      </c>
      <c r="E3" s="16" t="s">
        <v>44</v>
      </c>
      <c r="F3" s="11" t="s">
        <v>98</v>
      </c>
      <c r="G3" s="11" t="s">
        <v>27</v>
      </c>
      <c r="H3" s="174" t="s">
        <v>406</v>
      </c>
      <c r="I3" s="175" t="s">
        <v>107</v>
      </c>
      <c r="J3" s="11" t="s">
        <v>534</v>
      </c>
      <c r="K3" s="11" t="s">
        <v>534</v>
      </c>
      <c r="L3" s="11" t="s">
        <v>99</v>
      </c>
      <c r="M3" s="176" t="s">
        <v>470</v>
      </c>
      <c r="N3" s="25" t="s">
        <v>13</v>
      </c>
      <c r="O3" s="11" t="s">
        <v>473</v>
      </c>
      <c r="P3" s="177" t="s">
        <v>462</v>
      </c>
      <c r="Q3" s="11" t="s">
        <v>13</v>
      </c>
      <c r="R3" s="32" t="s">
        <v>100</v>
      </c>
      <c r="S3" s="209"/>
      <c r="T3" s="209"/>
      <c r="U3" s="94">
        <v>0</v>
      </c>
      <c r="V3" s="151" t="s">
        <v>507</v>
      </c>
      <c r="W3" s="153" t="s">
        <v>506</v>
      </c>
      <c r="X3" s="125" t="s">
        <v>465</v>
      </c>
      <c r="Y3" s="125" t="s">
        <v>463</v>
      </c>
      <c r="Z3" s="125" t="s">
        <v>466</v>
      </c>
      <c r="AA3" s="125" t="s">
        <v>472</v>
      </c>
      <c r="AB3" s="125" t="s">
        <v>467</v>
      </c>
      <c r="AC3" s="125" t="s">
        <v>471</v>
      </c>
      <c r="AD3" s="127" t="s">
        <v>405</v>
      </c>
      <c r="AE3" s="96"/>
      <c r="AF3" s="96"/>
      <c r="AG3" s="96"/>
      <c r="AH3" s="96"/>
      <c r="AI3" s="96"/>
      <c r="AJ3" s="129" t="s">
        <v>407</v>
      </c>
      <c r="AK3" s="96"/>
      <c r="AL3" s="96"/>
      <c r="AM3" s="96"/>
      <c r="AN3" s="96"/>
      <c r="AO3" s="96"/>
      <c r="AP3" s="150" t="s">
        <v>500</v>
      </c>
      <c r="AQ3" s="150"/>
      <c r="AR3" s="150"/>
      <c r="AS3" s="150"/>
      <c r="AT3" s="150"/>
    </row>
    <row r="4" spans="1:46" s="87" customFormat="1" ht="37.049999999999997" hidden="1" customHeight="1" outlineLevel="1" x14ac:dyDescent="0.25">
      <c r="A4" s="64" t="s">
        <v>378</v>
      </c>
      <c r="B4" s="64" t="s">
        <v>369</v>
      </c>
      <c r="C4" s="64" t="s">
        <v>371</v>
      </c>
      <c r="D4" s="64" t="s">
        <v>374</v>
      </c>
      <c r="E4" s="64" t="s">
        <v>372</v>
      </c>
      <c r="F4" s="64" t="s">
        <v>373</v>
      </c>
      <c r="G4" s="64" t="s">
        <v>370</v>
      </c>
      <c r="H4" s="86" t="s">
        <v>377</v>
      </c>
      <c r="I4" s="64" t="s">
        <v>508</v>
      </c>
      <c r="J4" s="64"/>
      <c r="K4" s="64"/>
      <c r="L4" s="64"/>
      <c r="M4" s="86" t="s">
        <v>375</v>
      </c>
      <c r="N4" s="64"/>
      <c r="O4" s="64" t="s">
        <v>475</v>
      </c>
      <c r="P4" s="86" t="s">
        <v>376</v>
      </c>
      <c r="Q4" s="64"/>
      <c r="R4" s="64"/>
      <c r="S4" s="64"/>
      <c r="T4" s="64"/>
      <c r="U4" s="124"/>
      <c r="V4" s="151" t="s">
        <v>507</v>
      </c>
      <c r="W4" s="153" t="s">
        <v>506</v>
      </c>
      <c r="X4" s="126" t="s">
        <v>468</v>
      </c>
      <c r="Y4" s="126" t="s">
        <v>468</v>
      </c>
      <c r="Z4" s="126" t="s">
        <v>468</v>
      </c>
      <c r="AA4" s="126" t="s">
        <v>468</v>
      </c>
      <c r="AB4" s="126" t="s">
        <v>468</v>
      </c>
      <c r="AC4" s="126" t="s">
        <v>468</v>
      </c>
      <c r="AD4" s="127" t="s">
        <v>405</v>
      </c>
      <c r="AE4" s="127" t="s">
        <v>405</v>
      </c>
      <c r="AF4" s="127" t="s">
        <v>405</v>
      </c>
      <c r="AG4" s="128" t="s">
        <v>485</v>
      </c>
      <c r="AH4" s="128" t="s">
        <v>483</v>
      </c>
      <c r="AI4" s="128" t="s">
        <v>484</v>
      </c>
      <c r="AJ4" s="129" t="s">
        <v>407</v>
      </c>
      <c r="AK4" s="129" t="s">
        <v>408</v>
      </c>
      <c r="AL4" s="129" t="s">
        <v>409</v>
      </c>
      <c r="AM4" s="129" t="s">
        <v>410</v>
      </c>
      <c r="AN4" s="129" t="s">
        <v>486</v>
      </c>
      <c r="AO4" s="129" t="s">
        <v>487</v>
      </c>
      <c r="AP4" s="150" t="s">
        <v>501</v>
      </c>
      <c r="AQ4" s="150" t="s">
        <v>502</v>
      </c>
      <c r="AR4" s="150" t="s">
        <v>502</v>
      </c>
      <c r="AS4" s="150" t="s">
        <v>503</v>
      </c>
      <c r="AT4" s="150" t="s">
        <v>504</v>
      </c>
    </row>
    <row r="5" spans="1:46" s="47" customFormat="1" ht="48" x14ac:dyDescent="0.25">
      <c r="A5" s="14">
        <v>1</v>
      </c>
      <c r="B5" s="218" t="s">
        <v>476</v>
      </c>
      <c r="C5" s="248"/>
      <c r="D5" s="11"/>
      <c r="E5" s="16"/>
      <c r="F5" s="11"/>
      <c r="G5" s="11" t="s">
        <v>108</v>
      </c>
      <c r="H5" s="15"/>
      <c r="I5" s="17">
        <v>10</v>
      </c>
      <c r="J5" s="17"/>
      <c r="K5" s="17"/>
      <c r="L5" s="17"/>
      <c r="M5" s="163"/>
      <c r="N5" s="165">
        <f t="shared" ref="N5:N8" si="0">H5*I5*M5</f>
        <v>0</v>
      </c>
      <c r="O5" s="14" t="s">
        <v>103</v>
      </c>
      <c r="P5" s="38"/>
      <c r="Q5" s="165">
        <f t="shared" ref="Q5:Q8" si="1">N5*P5</f>
        <v>0</v>
      </c>
      <c r="R5" s="165">
        <f t="shared" ref="R5:R8" si="2">N5+Q5</f>
        <v>0</v>
      </c>
      <c r="S5" s="17"/>
      <c r="T5" s="17"/>
      <c r="U5" s="114"/>
      <c r="W5" s="154"/>
      <c r="X5" s="116">
        <v>1000</v>
      </c>
      <c r="Y5" s="111"/>
      <c r="Z5" s="116">
        <v>1</v>
      </c>
      <c r="AA5" s="110"/>
      <c r="AB5" s="121"/>
      <c r="AC5" s="110" t="s">
        <v>489</v>
      </c>
      <c r="AD5" s="130">
        <f>H5+AG5-X5</f>
        <v>-1000</v>
      </c>
      <c r="AE5" s="130">
        <f>M5+AH5-Z5</f>
        <v>-1</v>
      </c>
      <c r="AF5" s="130">
        <f>P5+AI5-AB5</f>
        <v>0</v>
      </c>
      <c r="AG5" s="131"/>
      <c r="AH5" s="131"/>
      <c r="AI5" s="131"/>
      <c r="AJ5" s="131"/>
      <c r="AK5" s="131"/>
      <c r="AL5" s="131"/>
      <c r="AM5" s="131"/>
      <c r="AN5" s="131"/>
      <c r="AO5" s="131"/>
    </row>
    <row r="6" spans="1:46" s="47" customFormat="1" ht="84" x14ac:dyDescent="0.25">
      <c r="A6" s="14">
        <v>2</v>
      </c>
      <c r="B6" s="205" t="s">
        <v>351</v>
      </c>
      <c r="C6" s="219" t="s">
        <v>349</v>
      </c>
      <c r="D6" s="210" t="s">
        <v>350</v>
      </c>
      <c r="E6" s="89" t="s">
        <v>109</v>
      </c>
      <c r="F6" s="14" t="s">
        <v>36</v>
      </c>
      <c r="G6" s="17" t="s">
        <v>110</v>
      </c>
      <c r="H6" s="162"/>
      <c r="I6" s="17">
        <v>49</v>
      </c>
      <c r="J6" s="17"/>
      <c r="K6" s="17"/>
      <c r="L6" s="17"/>
      <c r="M6" s="163"/>
      <c r="N6" s="165">
        <f t="shared" si="0"/>
        <v>0</v>
      </c>
      <c r="O6" s="14" t="s">
        <v>103</v>
      </c>
      <c r="P6" s="38"/>
      <c r="Q6" s="165">
        <f t="shared" si="1"/>
        <v>0</v>
      </c>
      <c r="R6" s="165">
        <f t="shared" si="2"/>
        <v>0</v>
      </c>
      <c r="S6" s="17" t="s">
        <v>111</v>
      </c>
      <c r="T6" s="17" t="s">
        <v>428</v>
      </c>
      <c r="U6" s="114"/>
      <c r="W6" s="154"/>
      <c r="X6" s="116" t="str">
        <f>VLOOKUP(F6,{"Ⅰ","46";"Ⅱ","71";"Ⅲ","117";"Ⅳ","207";"Ⅴ","301";"Ⅵ","382"},2,0)</f>
        <v>117</v>
      </c>
      <c r="Y6" s="120"/>
      <c r="Z6" s="116">
        <v>1.5</v>
      </c>
      <c r="AA6" s="120" t="s">
        <v>112</v>
      </c>
      <c r="AB6" s="117" t="str">
        <f>VLOOKUP(O6,{"甲级","1.2";"乙级","1.0";"丙级","0.8"},2,0)</f>
        <v>1.2</v>
      </c>
      <c r="AC6" s="110" t="s">
        <v>490</v>
      </c>
      <c r="AD6" s="130">
        <f t="shared" ref="AD6:AD69" si="3">H6+AG6-X6</f>
        <v>-117</v>
      </c>
      <c r="AE6" s="130">
        <f t="shared" ref="AE6:AE69" si="4">M6+AH6-Z6</f>
        <v>-1.5</v>
      </c>
      <c r="AF6" s="130">
        <f t="shared" ref="AF6:AF69" si="5">P6+AI6-AB6</f>
        <v>-1.2</v>
      </c>
      <c r="AG6" s="131"/>
      <c r="AH6" s="131"/>
      <c r="AI6" s="131"/>
      <c r="AJ6" s="131"/>
      <c r="AK6" s="131"/>
      <c r="AL6" s="131"/>
      <c r="AM6" s="131"/>
      <c r="AN6" s="131"/>
      <c r="AO6" s="131"/>
    </row>
    <row r="7" spans="1:46" s="47" customFormat="1" ht="48" x14ac:dyDescent="0.25">
      <c r="A7" s="14">
        <v>3</v>
      </c>
      <c r="B7" s="206"/>
      <c r="C7" s="219"/>
      <c r="D7" s="210"/>
      <c r="E7" s="89" t="s">
        <v>109</v>
      </c>
      <c r="F7" s="14" t="s">
        <v>113</v>
      </c>
      <c r="G7" s="17" t="s">
        <v>110</v>
      </c>
      <c r="H7" s="162"/>
      <c r="I7" s="17">
        <v>121</v>
      </c>
      <c r="J7" s="17"/>
      <c r="K7" s="17"/>
      <c r="L7" s="17"/>
      <c r="M7" s="163"/>
      <c r="N7" s="165">
        <f t="shared" si="0"/>
        <v>0</v>
      </c>
      <c r="O7" s="14" t="s">
        <v>103</v>
      </c>
      <c r="P7" s="38"/>
      <c r="Q7" s="165">
        <f t="shared" si="1"/>
        <v>0</v>
      </c>
      <c r="R7" s="165">
        <f t="shared" si="2"/>
        <v>0</v>
      </c>
      <c r="S7" s="17" t="s">
        <v>429</v>
      </c>
      <c r="T7" s="17"/>
      <c r="U7" s="114"/>
      <c r="W7" s="154"/>
      <c r="X7" s="116" t="str">
        <f>VLOOKUP(F7,{"Ⅰ","46";"Ⅱ","71";"Ⅲ","117";"Ⅳ","207";"Ⅴ","301";"Ⅵ","382"},2,0)</f>
        <v>207</v>
      </c>
      <c r="Y7" s="120" t="s">
        <v>430</v>
      </c>
      <c r="Z7" s="116">
        <v>1.5</v>
      </c>
      <c r="AA7" s="111"/>
      <c r="AB7" s="117" t="str">
        <f>VLOOKUP(O7,{"甲级","1.2";"乙级","1.0";"丙级","0.8"},2,0)</f>
        <v>1.2</v>
      </c>
      <c r="AC7" s="111"/>
      <c r="AD7" s="130">
        <f t="shared" si="3"/>
        <v>-207</v>
      </c>
      <c r="AE7" s="130">
        <f t="shared" si="4"/>
        <v>-1.5</v>
      </c>
      <c r="AF7" s="130">
        <f t="shared" si="5"/>
        <v>-1.2</v>
      </c>
      <c r="AG7" s="131"/>
      <c r="AH7" s="131"/>
      <c r="AI7" s="131"/>
      <c r="AJ7" s="131"/>
      <c r="AK7" s="131"/>
      <c r="AL7" s="131"/>
      <c r="AM7" s="131"/>
      <c r="AN7" s="131"/>
      <c r="AO7" s="131"/>
    </row>
    <row r="8" spans="1:46" s="47" customFormat="1" ht="48" x14ac:dyDescent="0.25">
      <c r="A8" s="14">
        <v>4</v>
      </c>
      <c r="B8" s="206"/>
      <c r="C8" s="219"/>
      <c r="D8" s="210"/>
      <c r="E8" s="89" t="s">
        <v>109</v>
      </c>
      <c r="F8" s="14" t="s">
        <v>114</v>
      </c>
      <c r="G8" s="17" t="s">
        <v>110</v>
      </c>
      <c r="H8" s="162"/>
      <c r="I8" s="17"/>
      <c r="J8" s="17"/>
      <c r="K8" s="17"/>
      <c r="L8" s="17"/>
      <c r="M8" s="163"/>
      <c r="N8" s="165">
        <f t="shared" si="0"/>
        <v>0</v>
      </c>
      <c r="O8" s="14" t="s">
        <v>103</v>
      </c>
      <c r="P8" s="38"/>
      <c r="Q8" s="165">
        <f t="shared" si="1"/>
        <v>0</v>
      </c>
      <c r="R8" s="165">
        <f t="shared" si="2"/>
        <v>0</v>
      </c>
      <c r="S8" s="17" t="s">
        <v>429</v>
      </c>
      <c r="T8" s="17"/>
      <c r="U8" s="114"/>
      <c r="W8" s="154"/>
      <c r="X8" s="116" t="str">
        <f>VLOOKUP(F8,{"Ⅰ","46";"Ⅱ","71";"Ⅲ","117";"Ⅳ","207";"Ⅴ","301";"Ⅵ","382"},2,0)</f>
        <v>382</v>
      </c>
      <c r="Y8" s="120" t="s">
        <v>431</v>
      </c>
      <c r="Z8" s="116">
        <v>1.5</v>
      </c>
      <c r="AA8" s="111"/>
      <c r="AB8" s="117" t="str">
        <f>VLOOKUP(O8,{"甲级","1.2";"乙级","1.0";"丙级","0.8"},2,0)</f>
        <v>1.2</v>
      </c>
      <c r="AC8" s="111"/>
      <c r="AD8" s="130">
        <f t="shared" si="3"/>
        <v>-382</v>
      </c>
      <c r="AE8" s="130">
        <f t="shared" si="4"/>
        <v>-1.5</v>
      </c>
      <c r="AF8" s="130">
        <f t="shared" si="5"/>
        <v>-1.2</v>
      </c>
      <c r="AG8" s="131"/>
      <c r="AH8" s="131"/>
      <c r="AI8" s="131"/>
      <c r="AJ8" s="131"/>
      <c r="AK8" s="131"/>
      <c r="AL8" s="131"/>
      <c r="AM8" s="131"/>
      <c r="AN8" s="131"/>
      <c r="AO8" s="131"/>
    </row>
    <row r="9" spans="1:46" s="47" customFormat="1" ht="12" x14ac:dyDescent="0.25">
      <c r="A9" s="14">
        <v>5</v>
      </c>
      <c r="B9" s="206"/>
      <c r="C9" s="219"/>
      <c r="D9" s="210"/>
      <c r="E9" s="89" t="s">
        <v>115</v>
      </c>
      <c r="F9" s="14" t="s">
        <v>36</v>
      </c>
      <c r="G9" s="17" t="s">
        <v>110</v>
      </c>
      <c r="H9" s="162"/>
      <c r="I9" s="17"/>
      <c r="J9" s="17"/>
      <c r="K9" s="17"/>
      <c r="L9" s="17"/>
      <c r="M9" s="163"/>
      <c r="N9" s="165">
        <f t="shared" ref="N9:N17" si="6">H9*I9*M9</f>
        <v>0</v>
      </c>
      <c r="O9" s="14" t="s">
        <v>103</v>
      </c>
      <c r="P9" s="38"/>
      <c r="Q9" s="165">
        <f t="shared" ref="Q9:Q17" si="7">N9*P9</f>
        <v>0</v>
      </c>
      <c r="R9" s="165">
        <f t="shared" ref="R9:R17" si="8">N9+Q9</f>
        <v>0</v>
      </c>
      <c r="S9" s="17" t="s">
        <v>111</v>
      </c>
      <c r="T9" s="17"/>
      <c r="U9" s="114"/>
      <c r="W9" s="154"/>
      <c r="X9" s="116" t="str">
        <f>VLOOKUP(F9,{"Ⅰ","58";"Ⅱ","89";"Ⅲ","147";"Ⅳ","259";"Ⅴ","377";"Ⅵ","477"},2,0)</f>
        <v>147</v>
      </c>
      <c r="Y9" s="111"/>
      <c r="Z9" s="116">
        <v>1.5</v>
      </c>
      <c r="AA9" s="111"/>
      <c r="AB9" s="117" t="str">
        <f>VLOOKUP(O9,{"甲级","1.2";"乙级","1.0";"丙级","0.8"},2,0)</f>
        <v>1.2</v>
      </c>
      <c r="AC9" s="111"/>
      <c r="AD9" s="130">
        <f t="shared" si="3"/>
        <v>-147</v>
      </c>
      <c r="AE9" s="130">
        <f t="shared" si="4"/>
        <v>-1.5</v>
      </c>
      <c r="AF9" s="130">
        <f t="shared" si="5"/>
        <v>-1.2</v>
      </c>
      <c r="AG9" s="131"/>
      <c r="AH9" s="131"/>
      <c r="AI9" s="131"/>
      <c r="AJ9" s="131"/>
      <c r="AK9" s="131"/>
      <c r="AL9" s="131"/>
      <c r="AM9" s="131"/>
      <c r="AN9" s="131"/>
      <c r="AO9" s="131"/>
    </row>
    <row r="10" spans="1:46" s="47" customFormat="1" ht="12" x14ac:dyDescent="0.25">
      <c r="A10" s="14">
        <v>6</v>
      </c>
      <c r="B10" s="206"/>
      <c r="C10" s="219"/>
      <c r="D10" s="210"/>
      <c r="E10" s="89" t="s">
        <v>115</v>
      </c>
      <c r="F10" s="14" t="s">
        <v>113</v>
      </c>
      <c r="G10" s="17" t="s">
        <v>110</v>
      </c>
      <c r="H10" s="162"/>
      <c r="I10" s="17"/>
      <c r="J10" s="17"/>
      <c r="K10" s="17"/>
      <c r="L10" s="17"/>
      <c r="M10" s="163"/>
      <c r="N10" s="165">
        <f t="shared" si="6"/>
        <v>0</v>
      </c>
      <c r="O10" s="14" t="s">
        <v>103</v>
      </c>
      <c r="P10" s="38"/>
      <c r="Q10" s="165">
        <f t="shared" si="7"/>
        <v>0</v>
      </c>
      <c r="R10" s="165">
        <f t="shared" si="8"/>
        <v>0</v>
      </c>
      <c r="S10" s="17" t="s">
        <v>111</v>
      </c>
      <c r="T10" s="17"/>
      <c r="U10" s="114"/>
      <c r="W10" s="154"/>
      <c r="X10" s="116" t="str">
        <f>VLOOKUP(F10,{"Ⅰ","58";"Ⅱ","89";"Ⅲ","147";"Ⅳ","259";"Ⅴ","377";"Ⅵ","477"},2,0)</f>
        <v>259</v>
      </c>
      <c r="Y10" s="111"/>
      <c r="Z10" s="116">
        <v>1.5</v>
      </c>
      <c r="AA10" s="111"/>
      <c r="AB10" s="117" t="str">
        <f>VLOOKUP(O10,{"甲级","1.2";"乙级","1.0";"丙级","0.8"},2,0)</f>
        <v>1.2</v>
      </c>
      <c r="AC10" s="111"/>
      <c r="AD10" s="130">
        <f t="shared" si="3"/>
        <v>-259</v>
      </c>
      <c r="AE10" s="130">
        <f t="shared" si="4"/>
        <v>-1.5</v>
      </c>
      <c r="AF10" s="130">
        <f t="shared" si="5"/>
        <v>-1.2</v>
      </c>
      <c r="AG10" s="131"/>
      <c r="AH10" s="131"/>
      <c r="AI10" s="131"/>
      <c r="AJ10" s="131"/>
      <c r="AK10" s="131"/>
      <c r="AL10" s="131"/>
      <c r="AM10" s="131"/>
      <c r="AN10" s="131"/>
      <c r="AO10" s="131"/>
    </row>
    <row r="11" spans="1:46" s="47" customFormat="1" ht="12" x14ac:dyDescent="0.25">
      <c r="A11" s="14">
        <v>7</v>
      </c>
      <c r="B11" s="206"/>
      <c r="C11" s="219"/>
      <c r="D11" s="210"/>
      <c r="E11" s="89" t="s">
        <v>115</v>
      </c>
      <c r="F11" s="14" t="s">
        <v>116</v>
      </c>
      <c r="G11" s="17" t="s">
        <v>110</v>
      </c>
      <c r="H11" s="162"/>
      <c r="I11" s="17">
        <v>50</v>
      </c>
      <c r="J11" s="17"/>
      <c r="K11" s="17"/>
      <c r="L11" s="17"/>
      <c r="M11" s="163"/>
      <c r="N11" s="165">
        <f t="shared" si="6"/>
        <v>0</v>
      </c>
      <c r="O11" s="14" t="s">
        <v>103</v>
      </c>
      <c r="P11" s="38"/>
      <c r="Q11" s="165">
        <f t="shared" si="7"/>
        <v>0</v>
      </c>
      <c r="R11" s="165">
        <f t="shared" si="8"/>
        <v>0</v>
      </c>
      <c r="S11" s="17" t="s">
        <v>111</v>
      </c>
      <c r="T11" s="17"/>
      <c r="U11" s="114"/>
      <c r="W11" s="154"/>
      <c r="X11" s="116" t="str">
        <f>VLOOKUP(F11,{"Ⅰ","58";"Ⅱ","89";"Ⅲ","147";"Ⅳ","259";"Ⅴ","377";"Ⅵ","477"},2,0)</f>
        <v>377</v>
      </c>
      <c r="Y11" s="111"/>
      <c r="Z11" s="116">
        <v>1.5</v>
      </c>
      <c r="AA11" s="111"/>
      <c r="AB11" s="117" t="str">
        <f>VLOOKUP(O11,{"甲级","1.2";"乙级","1.0";"丙级","0.8"},2,0)</f>
        <v>1.2</v>
      </c>
      <c r="AC11" s="111"/>
      <c r="AD11" s="130">
        <f t="shared" si="3"/>
        <v>-377</v>
      </c>
      <c r="AE11" s="130">
        <f t="shared" si="4"/>
        <v>-1.5</v>
      </c>
      <c r="AF11" s="130">
        <f t="shared" si="5"/>
        <v>-1.2</v>
      </c>
      <c r="AG11" s="131"/>
      <c r="AH11" s="131"/>
      <c r="AI11" s="131"/>
      <c r="AJ11" s="131"/>
      <c r="AK11" s="131"/>
      <c r="AL11" s="131"/>
      <c r="AM11" s="131"/>
      <c r="AN11" s="131"/>
      <c r="AO11" s="131"/>
    </row>
    <row r="12" spans="1:46" s="47" customFormat="1" ht="12" x14ac:dyDescent="0.25">
      <c r="A12" s="14">
        <v>8</v>
      </c>
      <c r="B12" s="206"/>
      <c r="C12" s="219"/>
      <c r="D12" s="210"/>
      <c r="E12" s="89" t="s">
        <v>117</v>
      </c>
      <c r="F12" s="14" t="s">
        <v>113</v>
      </c>
      <c r="G12" s="17" t="s">
        <v>110</v>
      </c>
      <c r="H12" s="162"/>
      <c r="I12" s="17">
        <v>30</v>
      </c>
      <c r="J12" s="17"/>
      <c r="K12" s="17"/>
      <c r="L12" s="17"/>
      <c r="M12" s="163"/>
      <c r="N12" s="165">
        <f t="shared" si="6"/>
        <v>0</v>
      </c>
      <c r="O12" s="14" t="s">
        <v>103</v>
      </c>
      <c r="P12" s="38"/>
      <c r="Q12" s="165">
        <f t="shared" si="7"/>
        <v>0</v>
      </c>
      <c r="R12" s="165">
        <f t="shared" si="8"/>
        <v>0</v>
      </c>
      <c r="S12" s="17" t="s">
        <v>111</v>
      </c>
      <c r="T12" s="17"/>
      <c r="U12" s="114"/>
      <c r="W12" s="154"/>
      <c r="X12" s="116" t="str">
        <f>VLOOKUP(F12,{"Ⅰ","69";"Ⅱ","107";"Ⅲ","176";"Ⅳ","311";"Ⅴ","452";"Ⅵ","573"},2,0)</f>
        <v>311</v>
      </c>
      <c r="Y12" s="111"/>
      <c r="Z12" s="116">
        <v>1.5</v>
      </c>
      <c r="AA12" s="111"/>
      <c r="AB12" s="117" t="str">
        <f>VLOOKUP(O12,{"甲级","1.2";"乙级","1.0";"丙级","0.8"},2,0)</f>
        <v>1.2</v>
      </c>
      <c r="AC12" s="111"/>
      <c r="AD12" s="130">
        <f t="shared" si="3"/>
        <v>-311</v>
      </c>
      <c r="AE12" s="130">
        <f t="shared" si="4"/>
        <v>-1.5</v>
      </c>
      <c r="AF12" s="130">
        <f t="shared" si="5"/>
        <v>-1.2</v>
      </c>
      <c r="AG12" s="131"/>
      <c r="AH12" s="131"/>
      <c r="AI12" s="131"/>
      <c r="AJ12" s="131"/>
      <c r="AK12" s="131"/>
      <c r="AL12" s="131"/>
      <c r="AM12" s="131"/>
      <c r="AN12" s="131"/>
      <c r="AO12" s="131"/>
    </row>
    <row r="13" spans="1:46" s="47" customFormat="1" ht="12" x14ac:dyDescent="0.25">
      <c r="A13" s="14">
        <v>9</v>
      </c>
      <c r="B13" s="206"/>
      <c r="C13" s="219"/>
      <c r="D13" s="210"/>
      <c r="E13" s="89" t="s">
        <v>117</v>
      </c>
      <c r="F13" s="14" t="s">
        <v>116</v>
      </c>
      <c r="G13" s="17" t="s">
        <v>110</v>
      </c>
      <c r="H13" s="162"/>
      <c r="I13" s="17">
        <v>100</v>
      </c>
      <c r="J13" s="17"/>
      <c r="K13" s="17"/>
      <c r="L13" s="17"/>
      <c r="M13" s="163"/>
      <c r="N13" s="165">
        <f t="shared" si="6"/>
        <v>0</v>
      </c>
      <c r="O13" s="14" t="s">
        <v>103</v>
      </c>
      <c r="P13" s="38"/>
      <c r="Q13" s="165">
        <f t="shared" si="7"/>
        <v>0</v>
      </c>
      <c r="R13" s="165">
        <f t="shared" si="8"/>
        <v>0</v>
      </c>
      <c r="S13" s="17" t="s">
        <v>111</v>
      </c>
      <c r="T13" s="17"/>
      <c r="U13" s="114"/>
      <c r="W13" s="154"/>
      <c r="X13" s="116" t="str">
        <f>VLOOKUP(F13,{"Ⅰ","69";"Ⅱ","107";"Ⅲ","176";"Ⅳ","311";"Ⅴ","452";"Ⅵ","573"},2,0)</f>
        <v>452</v>
      </c>
      <c r="Y13" s="111"/>
      <c r="Z13" s="116">
        <v>1.5</v>
      </c>
      <c r="AA13" s="111"/>
      <c r="AB13" s="117" t="str">
        <f>VLOOKUP(O13,{"甲级","1.2";"乙级","1.0";"丙级","0.8"},2,0)</f>
        <v>1.2</v>
      </c>
      <c r="AC13" s="111"/>
      <c r="AD13" s="130">
        <f t="shared" si="3"/>
        <v>-452</v>
      </c>
      <c r="AE13" s="130">
        <f t="shared" si="4"/>
        <v>-1.5</v>
      </c>
      <c r="AF13" s="130">
        <f t="shared" si="5"/>
        <v>-1.2</v>
      </c>
      <c r="AG13" s="131"/>
      <c r="AH13" s="131"/>
      <c r="AI13" s="131"/>
      <c r="AJ13" s="131"/>
      <c r="AK13" s="131"/>
      <c r="AL13" s="131"/>
      <c r="AM13" s="131"/>
      <c r="AN13" s="131"/>
      <c r="AO13" s="131"/>
    </row>
    <row r="14" spans="1:46" s="47" customFormat="1" ht="12" x14ac:dyDescent="0.25">
      <c r="A14" s="14">
        <v>10</v>
      </c>
      <c r="B14" s="206"/>
      <c r="C14" s="219"/>
      <c r="D14" s="210"/>
      <c r="E14" s="89" t="s">
        <v>117</v>
      </c>
      <c r="F14" s="14" t="s">
        <v>114</v>
      </c>
      <c r="G14" s="17" t="s">
        <v>110</v>
      </c>
      <c r="H14" s="162"/>
      <c r="I14" s="17">
        <v>40</v>
      </c>
      <c r="J14" s="17"/>
      <c r="K14" s="17"/>
      <c r="L14" s="17"/>
      <c r="M14" s="163"/>
      <c r="N14" s="165">
        <f t="shared" si="6"/>
        <v>0</v>
      </c>
      <c r="O14" s="14" t="s">
        <v>103</v>
      </c>
      <c r="P14" s="38"/>
      <c r="Q14" s="165">
        <f t="shared" si="7"/>
        <v>0</v>
      </c>
      <c r="R14" s="165">
        <f t="shared" si="8"/>
        <v>0</v>
      </c>
      <c r="S14" s="17" t="s">
        <v>111</v>
      </c>
      <c r="T14" s="17"/>
      <c r="U14" s="114"/>
      <c r="W14" s="154"/>
      <c r="X14" s="116" t="str">
        <f>VLOOKUP(F14,{"Ⅰ","69";"Ⅱ","107";"Ⅲ","176";"Ⅳ","311";"Ⅴ","452";"Ⅵ","573"},2,0)</f>
        <v>573</v>
      </c>
      <c r="Y14" s="111"/>
      <c r="Z14" s="116">
        <v>1.5</v>
      </c>
      <c r="AA14" s="111"/>
      <c r="AB14" s="117" t="str">
        <f>VLOOKUP(O14,{"甲级","1.2";"乙级","1.0";"丙级","0.8"},2,0)</f>
        <v>1.2</v>
      </c>
      <c r="AC14" s="111"/>
      <c r="AD14" s="130">
        <f t="shared" si="3"/>
        <v>-573</v>
      </c>
      <c r="AE14" s="130">
        <f t="shared" si="4"/>
        <v>-1.5</v>
      </c>
      <c r="AF14" s="130">
        <f t="shared" si="5"/>
        <v>-1.2</v>
      </c>
      <c r="AG14" s="131"/>
      <c r="AH14" s="131"/>
      <c r="AI14" s="131"/>
      <c r="AJ14" s="131"/>
      <c r="AK14" s="131"/>
      <c r="AL14" s="131"/>
      <c r="AM14" s="131"/>
      <c r="AN14" s="131"/>
      <c r="AO14" s="131"/>
    </row>
    <row r="15" spans="1:46" s="47" customFormat="1" ht="12" x14ac:dyDescent="0.25">
      <c r="A15" s="14">
        <v>11</v>
      </c>
      <c r="B15" s="206"/>
      <c r="C15" s="219"/>
      <c r="D15" s="210"/>
      <c r="E15" s="89" t="s">
        <v>118</v>
      </c>
      <c r="F15" s="14" t="s">
        <v>116</v>
      </c>
      <c r="G15" s="17" t="s">
        <v>110</v>
      </c>
      <c r="H15" s="162"/>
      <c r="I15" s="17">
        <v>130</v>
      </c>
      <c r="J15" s="17"/>
      <c r="K15" s="17"/>
      <c r="L15" s="17"/>
      <c r="M15" s="163"/>
      <c r="N15" s="165">
        <f t="shared" si="6"/>
        <v>0</v>
      </c>
      <c r="O15" s="14" t="s">
        <v>103</v>
      </c>
      <c r="P15" s="38"/>
      <c r="Q15" s="165">
        <f t="shared" si="7"/>
        <v>0</v>
      </c>
      <c r="R15" s="165">
        <f t="shared" si="8"/>
        <v>0</v>
      </c>
      <c r="S15" s="17" t="s">
        <v>111</v>
      </c>
      <c r="T15" s="17"/>
      <c r="U15" s="114"/>
      <c r="W15" s="154"/>
      <c r="X15" s="116" t="str">
        <f>VLOOKUP(F15,{"Ⅰ","82";"Ⅱ","127";"Ⅲ","209";"Ⅳ","368";"Ⅴ","536";"Ⅵ","680"},2,0)</f>
        <v>536</v>
      </c>
      <c r="Y15" s="111"/>
      <c r="Z15" s="116">
        <v>1.5</v>
      </c>
      <c r="AA15" s="111"/>
      <c r="AB15" s="117" t="str">
        <f>VLOOKUP(O15,{"甲级","1.2";"乙级","1.0";"丙级","0.8"},2,0)</f>
        <v>1.2</v>
      </c>
      <c r="AC15" s="111"/>
      <c r="AD15" s="130">
        <f t="shared" si="3"/>
        <v>-536</v>
      </c>
      <c r="AE15" s="130">
        <f t="shared" si="4"/>
        <v>-1.5</v>
      </c>
      <c r="AF15" s="130">
        <f t="shared" si="5"/>
        <v>-1.2</v>
      </c>
      <c r="AG15" s="131"/>
      <c r="AH15" s="131"/>
      <c r="AI15" s="131"/>
      <c r="AJ15" s="131"/>
      <c r="AK15" s="131"/>
      <c r="AL15" s="131"/>
      <c r="AM15" s="131"/>
      <c r="AN15" s="131"/>
      <c r="AO15" s="131"/>
    </row>
    <row r="16" spans="1:46" s="47" customFormat="1" ht="12" x14ac:dyDescent="0.25">
      <c r="A16" s="14">
        <v>12</v>
      </c>
      <c r="B16" s="206"/>
      <c r="C16" s="219"/>
      <c r="D16" s="210"/>
      <c r="E16" s="89" t="s">
        <v>118</v>
      </c>
      <c r="F16" s="14" t="s">
        <v>114</v>
      </c>
      <c r="G16" s="17" t="s">
        <v>110</v>
      </c>
      <c r="H16" s="162"/>
      <c r="I16" s="17">
        <v>40</v>
      </c>
      <c r="J16" s="17"/>
      <c r="K16" s="17"/>
      <c r="L16" s="17"/>
      <c r="M16" s="163"/>
      <c r="N16" s="165">
        <f t="shared" si="6"/>
        <v>0</v>
      </c>
      <c r="O16" s="14" t="s">
        <v>103</v>
      </c>
      <c r="P16" s="38"/>
      <c r="Q16" s="165">
        <f t="shared" si="7"/>
        <v>0</v>
      </c>
      <c r="R16" s="165">
        <f t="shared" si="8"/>
        <v>0</v>
      </c>
      <c r="S16" s="17" t="s">
        <v>111</v>
      </c>
      <c r="T16" s="17"/>
      <c r="U16" s="114"/>
      <c r="W16" s="154"/>
      <c r="X16" s="116" t="str">
        <f>VLOOKUP(F16,{"Ⅰ","82";"Ⅱ","127";"Ⅲ","209";"Ⅳ","368";"Ⅴ","536";"Ⅵ","680"},2,0)</f>
        <v>680</v>
      </c>
      <c r="Y16" s="112"/>
      <c r="Z16" s="116">
        <v>1.5</v>
      </c>
      <c r="AA16" s="112"/>
      <c r="AB16" s="117" t="str">
        <f>VLOOKUP(O16,{"甲级","1.2";"乙级","1.0";"丙级","0.8"},2,0)</f>
        <v>1.2</v>
      </c>
      <c r="AC16" s="112"/>
      <c r="AD16" s="130">
        <f t="shared" si="3"/>
        <v>-680</v>
      </c>
      <c r="AE16" s="130">
        <f t="shared" si="4"/>
        <v>-1.5</v>
      </c>
      <c r="AF16" s="130">
        <f t="shared" si="5"/>
        <v>-1.2</v>
      </c>
      <c r="AG16" s="131"/>
      <c r="AH16" s="131"/>
      <c r="AI16" s="131"/>
      <c r="AJ16" s="131"/>
      <c r="AK16" s="131"/>
      <c r="AL16" s="131"/>
      <c r="AM16" s="131"/>
      <c r="AN16" s="131"/>
      <c r="AO16" s="131"/>
    </row>
    <row r="17" spans="1:41" s="47" customFormat="1" ht="12" x14ac:dyDescent="0.25">
      <c r="A17" s="14">
        <v>13</v>
      </c>
      <c r="B17" s="206"/>
      <c r="C17" s="219"/>
      <c r="D17" s="210"/>
      <c r="E17" s="89" t="s">
        <v>119</v>
      </c>
      <c r="F17" s="14" t="s">
        <v>116</v>
      </c>
      <c r="G17" s="17" t="s">
        <v>110</v>
      </c>
      <c r="H17" s="162"/>
      <c r="I17" s="17">
        <v>90</v>
      </c>
      <c r="J17" s="17"/>
      <c r="K17" s="17"/>
      <c r="L17" s="17"/>
      <c r="M17" s="163"/>
      <c r="N17" s="165">
        <f t="shared" si="6"/>
        <v>0</v>
      </c>
      <c r="O17" s="14" t="s">
        <v>103</v>
      </c>
      <c r="P17" s="38"/>
      <c r="Q17" s="165">
        <f t="shared" si="7"/>
        <v>0</v>
      </c>
      <c r="R17" s="165">
        <f t="shared" si="8"/>
        <v>0</v>
      </c>
      <c r="S17" s="17" t="s">
        <v>111</v>
      </c>
      <c r="T17" s="17"/>
      <c r="U17" s="114"/>
      <c r="W17" s="154"/>
      <c r="X17" s="116" t="str">
        <f>VLOOKUP(F17,{"Ⅰ","98";"Ⅱ","151";"Ⅲ","249";"Ⅳ","439";"Ⅴ","639";"Ⅵ","809"},2,0)</f>
        <v>639</v>
      </c>
      <c r="Y17" s="112"/>
      <c r="Z17" s="116">
        <v>1.5</v>
      </c>
      <c r="AA17" s="112"/>
      <c r="AB17" s="117" t="str">
        <f>VLOOKUP(O17,{"甲级","1.2";"乙级","1.0";"丙级","0.8"},2,0)</f>
        <v>1.2</v>
      </c>
      <c r="AC17" s="111"/>
      <c r="AD17" s="130">
        <f t="shared" si="3"/>
        <v>-639</v>
      </c>
      <c r="AE17" s="130">
        <f t="shared" si="4"/>
        <v>-1.5</v>
      </c>
      <c r="AF17" s="130">
        <f t="shared" si="5"/>
        <v>-1.2</v>
      </c>
      <c r="AG17" s="131"/>
      <c r="AH17" s="131"/>
      <c r="AI17" s="131"/>
      <c r="AJ17" s="131"/>
      <c r="AK17" s="131"/>
      <c r="AL17" s="131"/>
      <c r="AM17" s="131"/>
      <c r="AN17" s="131"/>
      <c r="AO17" s="131"/>
    </row>
    <row r="18" spans="1:41" s="47" customFormat="1" ht="12" x14ac:dyDescent="0.25">
      <c r="A18" s="14">
        <v>14</v>
      </c>
      <c r="B18" s="206"/>
      <c r="C18" s="219"/>
      <c r="D18" s="210"/>
      <c r="E18" s="89" t="s">
        <v>119</v>
      </c>
      <c r="F18" s="14" t="s">
        <v>114</v>
      </c>
      <c r="G18" s="17" t="s">
        <v>110</v>
      </c>
      <c r="H18" s="162"/>
      <c r="I18" s="17">
        <v>80</v>
      </c>
      <c r="J18" s="17"/>
      <c r="K18" s="17"/>
      <c r="L18" s="17"/>
      <c r="M18" s="163"/>
      <c r="N18" s="165">
        <f t="shared" ref="N18:N24" si="9">H18*I18*M18</f>
        <v>0</v>
      </c>
      <c r="O18" s="14" t="s">
        <v>103</v>
      </c>
      <c r="P18" s="38"/>
      <c r="Q18" s="165">
        <f t="shared" ref="Q18:Q24" si="10">N18*P18</f>
        <v>0</v>
      </c>
      <c r="R18" s="165">
        <f t="shared" ref="R18:R22" si="11">N18+Q18</f>
        <v>0</v>
      </c>
      <c r="S18" s="17" t="s">
        <v>111</v>
      </c>
      <c r="T18" s="17"/>
      <c r="U18" s="114"/>
      <c r="W18" s="154"/>
      <c r="X18" s="116" t="str">
        <f>VLOOKUP(F18,{"Ⅰ","98";"Ⅱ","151";"Ⅲ","249";"Ⅳ","439";"Ⅴ","639";"Ⅵ","809"},2,0)</f>
        <v>809</v>
      </c>
      <c r="Y18" s="112"/>
      <c r="Z18" s="116">
        <v>1.5</v>
      </c>
      <c r="AA18" s="111"/>
      <c r="AB18" s="117" t="str">
        <f>VLOOKUP(O18,{"甲级","1.2";"乙级","1.0";"丙级","0.8"},2,0)</f>
        <v>1.2</v>
      </c>
      <c r="AC18" s="111"/>
      <c r="AD18" s="130">
        <f t="shared" si="3"/>
        <v>-809</v>
      </c>
      <c r="AE18" s="130">
        <f t="shared" si="4"/>
        <v>-1.5</v>
      </c>
      <c r="AF18" s="130">
        <f t="shared" si="5"/>
        <v>-1.2</v>
      </c>
      <c r="AG18" s="131"/>
      <c r="AH18" s="131"/>
      <c r="AI18" s="131"/>
      <c r="AJ18" s="131"/>
      <c r="AK18" s="131"/>
      <c r="AL18" s="131"/>
      <c r="AM18" s="131"/>
      <c r="AN18" s="131"/>
      <c r="AO18" s="131"/>
    </row>
    <row r="19" spans="1:41" s="47" customFormat="1" ht="12" x14ac:dyDescent="0.25">
      <c r="A19" s="14">
        <v>15</v>
      </c>
      <c r="B19" s="206"/>
      <c r="C19" s="219"/>
      <c r="D19" s="210"/>
      <c r="E19" s="89" t="s">
        <v>120</v>
      </c>
      <c r="F19" s="14" t="s">
        <v>116</v>
      </c>
      <c r="G19" s="17" t="s">
        <v>110</v>
      </c>
      <c r="H19" s="162"/>
      <c r="I19" s="17">
        <v>70</v>
      </c>
      <c r="J19" s="17"/>
      <c r="K19" s="17"/>
      <c r="L19" s="17"/>
      <c r="M19" s="163"/>
      <c r="N19" s="165">
        <f t="shared" si="9"/>
        <v>0</v>
      </c>
      <c r="O19" s="14" t="s">
        <v>103</v>
      </c>
      <c r="P19" s="38"/>
      <c r="Q19" s="165">
        <f t="shared" si="10"/>
        <v>0</v>
      </c>
      <c r="R19" s="165">
        <f t="shared" si="11"/>
        <v>0</v>
      </c>
      <c r="S19" s="17" t="s">
        <v>111</v>
      </c>
      <c r="T19" s="17"/>
      <c r="U19" s="114"/>
      <c r="W19" s="154"/>
      <c r="X19" s="116" t="str">
        <f>VLOOKUP(F19,{"Ⅰ","109";"Ⅱ","168";"Ⅲ","277";"Ⅳ","489";"Ⅴ","711";"Ⅵ","901"},2,0)</f>
        <v>711</v>
      </c>
      <c r="Y19" s="111"/>
      <c r="Z19" s="116">
        <v>1.5</v>
      </c>
      <c r="AA19" s="111"/>
      <c r="AB19" s="117" t="str">
        <f>VLOOKUP(O19,{"甲级","1.2";"乙级","1.0";"丙级","0.8"},2,0)</f>
        <v>1.2</v>
      </c>
      <c r="AC19" s="112"/>
      <c r="AD19" s="130">
        <f t="shared" si="3"/>
        <v>-711</v>
      </c>
      <c r="AE19" s="130">
        <f t="shared" si="4"/>
        <v>-1.5</v>
      </c>
      <c r="AF19" s="130">
        <f t="shared" si="5"/>
        <v>-1.2</v>
      </c>
      <c r="AG19" s="131"/>
      <c r="AH19" s="131"/>
      <c r="AI19" s="131"/>
      <c r="AJ19" s="131"/>
      <c r="AK19" s="131"/>
      <c r="AL19" s="131"/>
      <c r="AM19" s="131"/>
      <c r="AN19" s="131"/>
      <c r="AO19" s="131"/>
    </row>
    <row r="20" spans="1:41" s="47" customFormat="1" ht="12" x14ac:dyDescent="0.25">
      <c r="A20" s="14">
        <v>16</v>
      </c>
      <c r="B20" s="206"/>
      <c r="C20" s="219"/>
      <c r="D20" s="210"/>
      <c r="E20" s="89" t="s">
        <v>120</v>
      </c>
      <c r="F20" s="14" t="s">
        <v>114</v>
      </c>
      <c r="G20" s="17" t="s">
        <v>110</v>
      </c>
      <c r="H20" s="162"/>
      <c r="I20" s="17">
        <v>40</v>
      </c>
      <c r="J20" s="17"/>
      <c r="K20" s="17"/>
      <c r="L20" s="17"/>
      <c r="M20" s="163"/>
      <c r="N20" s="165">
        <f t="shared" si="9"/>
        <v>0</v>
      </c>
      <c r="O20" s="14" t="s">
        <v>103</v>
      </c>
      <c r="P20" s="38"/>
      <c r="Q20" s="165">
        <f t="shared" si="10"/>
        <v>0</v>
      </c>
      <c r="R20" s="165">
        <f t="shared" si="11"/>
        <v>0</v>
      </c>
      <c r="S20" s="17" t="s">
        <v>111</v>
      </c>
      <c r="T20" s="17"/>
      <c r="U20" s="114"/>
      <c r="W20" s="154"/>
      <c r="X20" s="116" t="str">
        <f>VLOOKUP(F20,{"Ⅰ","109";"Ⅱ","168";"Ⅲ","277";"Ⅳ","489";"Ⅴ","711";"Ⅵ","901"},2,0)</f>
        <v>901</v>
      </c>
      <c r="Y20" s="111"/>
      <c r="Z20" s="116">
        <v>1.5</v>
      </c>
      <c r="AA20" s="111"/>
      <c r="AB20" s="117" t="str">
        <f>VLOOKUP(O20,{"甲级","1.2";"乙级","1.0";"丙级","0.8"},2,0)</f>
        <v>1.2</v>
      </c>
      <c r="AC20" s="118"/>
      <c r="AD20" s="130">
        <f t="shared" si="3"/>
        <v>-901</v>
      </c>
      <c r="AE20" s="130">
        <f t="shared" si="4"/>
        <v>-1.5</v>
      </c>
      <c r="AF20" s="130">
        <f t="shared" si="5"/>
        <v>-1.2</v>
      </c>
      <c r="AG20" s="131"/>
      <c r="AH20" s="131"/>
      <c r="AI20" s="131"/>
      <c r="AJ20" s="131"/>
      <c r="AK20" s="131"/>
      <c r="AL20" s="131"/>
      <c r="AM20" s="131"/>
      <c r="AN20" s="131"/>
      <c r="AO20" s="131"/>
    </row>
    <row r="21" spans="1:41" s="47" customFormat="1" ht="12" x14ac:dyDescent="0.25">
      <c r="A21" s="14">
        <v>17</v>
      </c>
      <c r="B21" s="206"/>
      <c r="C21" s="219"/>
      <c r="D21" s="210"/>
      <c r="E21" s="89" t="s">
        <v>121</v>
      </c>
      <c r="F21" s="14" t="s">
        <v>116</v>
      </c>
      <c r="G21" s="17" t="s">
        <v>110</v>
      </c>
      <c r="H21" s="162"/>
      <c r="I21" s="17">
        <v>10</v>
      </c>
      <c r="J21" s="17"/>
      <c r="K21" s="17"/>
      <c r="L21" s="17"/>
      <c r="M21" s="163"/>
      <c r="N21" s="165">
        <f t="shared" si="9"/>
        <v>0</v>
      </c>
      <c r="O21" s="14" t="s">
        <v>103</v>
      </c>
      <c r="P21" s="38"/>
      <c r="Q21" s="165">
        <f t="shared" si="10"/>
        <v>0</v>
      </c>
      <c r="R21" s="165">
        <f t="shared" si="11"/>
        <v>0</v>
      </c>
      <c r="S21" s="17" t="s">
        <v>111</v>
      </c>
      <c r="T21" s="17"/>
      <c r="U21" s="114"/>
      <c r="W21" s="154"/>
      <c r="X21" s="116" t="str">
        <f>VLOOKUP(F21,{"Ⅰ","121";"Ⅱ","187";"Ⅲ","307";"Ⅳ","542";"Ⅴ","789";"Ⅵ","1000"},2,0)</f>
        <v>789</v>
      </c>
      <c r="Y21" s="111"/>
      <c r="Z21" s="116">
        <v>1.5</v>
      </c>
      <c r="AA21" s="111"/>
      <c r="AB21" s="117" t="str">
        <f>VLOOKUP(O21,{"甲级","1.2";"乙级","1.0";"丙级","0.8"},2,0)</f>
        <v>1.2</v>
      </c>
      <c r="AC21" s="111"/>
      <c r="AD21" s="130">
        <f t="shared" si="3"/>
        <v>-789</v>
      </c>
      <c r="AE21" s="130">
        <f t="shared" si="4"/>
        <v>-1.5</v>
      </c>
      <c r="AF21" s="130">
        <f t="shared" si="5"/>
        <v>-1.2</v>
      </c>
      <c r="AG21" s="131"/>
      <c r="AH21" s="131"/>
      <c r="AI21" s="131"/>
      <c r="AJ21" s="131"/>
      <c r="AK21" s="131"/>
      <c r="AL21" s="131"/>
      <c r="AM21" s="131"/>
      <c r="AN21" s="131"/>
      <c r="AO21" s="131"/>
    </row>
    <row r="22" spans="1:41" s="47" customFormat="1" ht="12" x14ac:dyDescent="0.25">
      <c r="A22" s="14">
        <v>18</v>
      </c>
      <c r="B22" s="206"/>
      <c r="C22" s="219"/>
      <c r="D22" s="210"/>
      <c r="E22" s="89" t="s">
        <v>121</v>
      </c>
      <c r="F22" s="14" t="s">
        <v>114</v>
      </c>
      <c r="G22" s="17" t="s">
        <v>110</v>
      </c>
      <c r="H22" s="162"/>
      <c r="I22" s="17">
        <v>180</v>
      </c>
      <c r="J22" s="17"/>
      <c r="K22" s="17"/>
      <c r="L22" s="17"/>
      <c r="M22" s="163"/>
      <c r="N22" s="165">
        <f t="shared" si="9"/>
        <v>0</v>
      </c>
      <c r="O22" s="14" t="s">
        <v>103</v>
      </c>
      <c r="P22" s="38"/>
      <c r="Q22" s="165">
        <f t="shared" si="10"/>
        <v>0</v>
      </c>
      <c r="R22" s="165">
        <f t="shared" si="11"/>
        <v>0</v>
      </c>
      <c r="S22" s="17" t="s">
        <v>111</v>
      </c>
      <c r="T22" s="17"/>
      <c r="U22" s="114"/>
      <c r="W22" s="154"/>
      <c r="X22" s="116" t="str">
        <f>VLOOKUP(F22,{"Ⅰ","121";"Ⅱ","187";"Ⅲ","307";"Ⅳ","542";"Ⅴ","789";"Ⅵ","1000"},2,0)</f>
        <v>1000</v>
      </c>
      <c r="Y22" s="112"/>
      <c r="Z22" s="116">
        <v>1.5</v>
      </c>
      <c r="AA22" s="111"/>
      <c r="AB22" s="117" t="str">
        <f>VLOOKUP(O22,{"甲级","1.2";"乙级","1.0";"丙级","0.8"},2,0)</f>
        <v>1.2</v>
      </c>
      <c r="AC22" s="112"/>
      <c r="AD22" s="130">
        <f t="shared" si="3"/>
        <v>-1000</v>
      </c>
      <c r="AE22" s="130">
        <f t="shared" si="4"/>
        <v>-1.5</v>
      </c>
      <c r="AF22" s="130">
        <f t="shared" si="5"/>
        <v>-1.2</v>
      </c>
      <c r="AG22" s="131"/>
      <c r="AH22" s="131"/>
      <c r="AI22" s="131"/>
      <c r="AJ22" s="131"/>
      <c r="AK22" s="131"/>
      <c r="AL22" s="131"/>
      <c r="AM22" s="131"/>
      <c r="AN22" s="131"/>
      <c r="AO22" s="131"/>
    </row>
    <row r="23" spans="1:41" s="47" customFormat="1" ht="14.4" x14ac:dyDescent="0.25">
      <c r="A23" s="14">
        <v>19</v>
      </c>
      <c r="B23" s="206"/>
      <c r="C23" s="219"/>
      <c r="D23" s="210"/>
      <c r="E23" s="89" t="s">
        <v>122</v>
      </c>
      <c r="F23" s="14" t="s">
        <v>114</v>
      </c>
      <c r="G23" s="17" t="s">
        <v>110</v>
      </c>
      <c r="H23" s="162"/>
      <c r="I23" s="17">
        <v>95</v>
      </c>
      <c r="J23" s="17"/>
      <c r="K23" s="17"/>
      <c r="L23" s="17"/>
      <c r="M23" s="163"/>
      <c r="N23" s="165">
        <f t="shared" si="9"/>
        <v>0</v>
      </c>
      <c r="O23" s="14" t="s">
        <v>103</v>
      </c>
      <c r="P23" s="38"/>
      <c r="Q23" s="165">
        <f t="shared" si="10"/>
        <v>0</v>
      </c>
      <c r="R23" s="165">
        <f t="shared" ref="R23:R41" si="12">N23+Q23</f>
        <v>0</v>
      </c>
      <c r="S23" s="17" t="s">
        <v>111</v>
      </c>
      <c r="T23" s="17"/>
      <c r="U23" s="114"/>
      <c r="W23" s="154"/>
      <c r="X23" s="116" t="str">
        <f>VLOOKUP(F23,{"Ⅰ","132";"Ⅱ","204";"Ⅲ","335";"Ⅳ","592";"Ⅴ","862";"Ⅵ","1092"},2,0)</f>
        <v>1092</v>
      </c>
      <c r="Y23" s="113"/>
      <c r="Z23" s="116">
        <v>1.5</v>
      </c>
      <c r="AA23" s="112"/>
      <c r="AB23" s="117" t="str">
        <f>VLOOKUP(O23,{"甲级","1.2";"乙级","1.0";"丙级","0.8"},2,0)</f>
        <v>1.2</v>
      </c>
      <c r="AC23" s="111"/>
      <c r="AD23" s="130">
        <f t="shared" si="3"/>
        <v>-1092</v>
      </c>
      <c r="AE23" s="130">
        <f t="shared" si="4"/>
        <v>-1.5</v>
      </c>
      <c r="AF23" s="130">
        <f t="shared" si="5"/>
        <v>-1.2</v>
      </c>
      <c r="AG23" s="131"/>
      <c r="AH23" s="131"/>
      <c r="AI23" s="131"/>
      <c r="AJ23" s="131"/>
      <c r="AK23" s="131"/>
      <c r="AL23" s="131"/>
      <c r="AM23" s="131"/>
      <c r="AN23" s="131"/>
      <c r="AO23" s="131"/>
    </row>
    <row r="24" spans="1:41" s="47" customFormat="1" ht="12" x14ac:dyDescent="0.25">
      <c r="A24" s="14">
        <v>20</v>
      </c>
      <c r="B24" s="206"/>
      <c r="C24" s="219"/>
      <c r="D24" s="210"/>
      <c r="E24" s="89" t="s">
        <v>123</v>
      </c>
      <c r="F24" s="14" t="s">
        <v>114</v>
      </c>
      <c r="G24" s="17" t="s">
        <v>110</v>
      </c>
      <c r="H24" s="162"/>
      <c r="I24" s="17">
        <v>80</v>
      </c>
      <c r="J24" s="17"/>
      <c r="K24" s="17"/>
      <c r="L24" s="17"/>
      <c r="M24" s="163"/>
      <c r="N24" s="165">
        <f t="shared" si="9"/>
        <v>0</v>
      </c>
      <c r="O24" s="14" t="s">
        <v>103</v>
      </c>
      <c r="P24" s="38"/>
      <c r="Q24" s="165">
        <f t="shared" si="10"/>
        <v>0</v>
      </c>
      <c r="R24" s="165">
        <f t="shared" si="12"/>
        <v>0</v>
      </c>
      <c r="S24" s="17" t="s">
        <v>111</v>
      </c>
      <c r="T24" s="17"/>
      <c r="U24" s="114"/>
      <c r="W24" s="154"/>
      <c r="X24" s="116">
        <v>1310.3999999999999</v>
      </c>
      <c r="Y24" s="111"/>
      <c r="Z24" s="116">
        <v>1.5</v>
      </c>
      <c r="AA24" s="112"/>
      <c r="AB24" s="117" t="str">
        <f>VLOOKUP(O24,{"甲级","1.2";"乙级","1.0";"丙级","0.8"},2,0)</f>
        <v>1.2</v>
      </c>
      <c r="AC24" s="111"/>
      <c r="AD24" s="130">
        <f t="shared" si="3"/>
        <v>-1310.3999999999999</v>
      </c>
      <c r="AE24" s="130">
        <f t="shared" si="4"/>
        <v>-1.5</v>
      </c>
      <c r="AF24" s="130">
        <f t="shared" si="5"/>
        <v>-1.2</v>
      </c>
      <c r="AG24" s="131"/>
      <c r="AH24" s="131"/>
      <c r="AI24" s="131"/>
      <c r="AJ24" s="131"/>
      <c r="AK24" s="131"/>
      <c r="AL24" s="131"/>
      <c r="AM24" s="131"/>
      <c r="AN24" s="131"/>
      <c r="AO24" s="131"/>
    </row>
    <row r="25" spans="1:41" s="47" customFormat="1" ht="12" x14ac:dyDescent="0.25">
      <c r="A25" s="14">
        <v>21</v>
      </c>
      <c r="B25" s="206"/>
      <c r="C25" s="219"/>
      <c r="D25" s="210"/>
      <c r="E25" s="89" t="s">
        <v>124</v>
      </c>
      <c r="F25" s="14" t="s">
        <v>114</v>
      </c>
      <c r="G25" s="17" t="s">
        <v>110</v>
      </c>
      <c r="H25" s="162"/>
      <c r="I25" s="17">
        <v>80</v>
      </c>
      <c r="J25" s="17"/>
      <c r="K25" s="17"/>
      <c r="L25" s="17"/>
      <c r="M25" s="163"/>
      <c r="N25" s="165">
        <f t="shared" ref="N25:N41" si="13">H25*I25*M25</f>
        <v>0</v>
      </c>
      <c r="O25" s="14" t="s">
        <v>103</v>
      </c>
      <c r="P25" s="38"/>
      <c r="Q25" s="165">
        <f t="shared" ref="Q25:Q41" si="14">N25*P25</f>
        <v>0</v>
      </c>
      <c r="R25" s="165">
        <f t="shared" si="12"/>
        <v>0</v>
      </c>
      <c r="S25" s="17" t="s">
        <v>111</v>
      </c>
      <c r="T25" s="17"/>
      <c r="U25" s="114"/>
      <c r="W25" s="154"/>
      <c r="X25" s="116">
        <v>1572.4799999999998</v>
      </c>
      <c r="Y25" s="111"/>
      <c r="Z25" s="116">
        <v>1.5</v>
      </c>
      <c r="AA25" s="112"/>
      <c r="AB25" s="117" t="str">
        <f>VLOOKUP(O25,{"甲级","1.2";"乙级","1.0";"丙级","0.8"},2,0)</f>
        <v>1.2</v>
      </c>
      <c r="AC25" s="111"/>
      <c r="AD25" s="130">
        <f t="shared" si="3"/>
        <v>-1572.4799999999998</v>
      </c>
      <c r="AE25" s="130">
        <f t="shared" si="4"/>
        <v>-1.5</v>
      </c>
      <c r="AF25" s="130">
        <f t="shared" si="5"/>
        <v>-1.2</v>
      </c>
      <c r="AG25" s="131"/>
      <c r="AH25" s="131"/>
      <c r="AI25" s="131"/>
      <c r="AJ25" s="131"/>
      <c r="AK25" s="131"/>
      <c r="AL25" s="131"/>
      <c r="AM25" s="131"/>
      <c r="AN25" s="131"/>
      <c r="AO25" s="131"/>
    </row>
    <row r="26" spans="1:41" s="47" customFormat="1" ht="14.4" x14ac:dyDescent="0.25">
      <c r="A26" s="14">
        <v>22</v>
      </c>
      <c r="B26" s="206"/>
      <c r="C26" s="219"/>
      <c r="D26" s="210"/>
      <c r="E26" s="89" t="s">
        <v>125</v>
      </c>
      <c r="F26" s="14" t="s">
        <v>114</v>
      </c>
      <c r="G26" s="17" t="s">
        <v>110</v>
      </c>
      <c r="H26" s="162"/>
      <c r="I26" s="17">
        <v>80</v>
      </c>
      <c r="J26" s="17"/>
      <c r="K26" s="17"/>
      <c r="L26" s="17"/>
      <c r="M26" s="163"/>
      <c r="N26" s="165">
        <f t="shared" si="13"/>
        <v>0</v>
      </c>
      <c r="O26" s="14" t="s">
        <v>103</v>
      </c>
      <c r="P26" s="38"/>
      <c r="Q26" s="165">
        <f t="shared" si="14"/>
        <v>0</v>
      </c>
      <c r="R26" s="165">
        <f t="shared" si="12"/>
        <v>0</v>
      </c>
      <c r="S26" s="17" t="s">
        <v>111</v>
      </c>
      <c r="T26" s="17"/>
      <c r="U26" s="114"/>
      <c r="W26" s="154"/>
      <c r="X26" s="116">
        <v>1886.9759999999997</v>
      </c>
      <c r="Y26" s="118"/>
      <c r="Z26" s="116">
        <v>1.5</v>
      </c>
      <c r="AA26" s="113"/>
      <c r="AB26" s="117" t="str">
        <f>VLOOKUP(O26,{"甲级","1.2";"乙级","1.0";"丙级","0.8"},2,0)</f>
        <v>1.2</v>
      </c>
      <c r="AC26" s="113"/>
      <c r="AD26" s="130">
        <f t="shared" si="3"/>
        <v>-1886.9759999999997</v>
      </c>
      <c r="AE26" s="130">
        <f t="shared" si="4"/>
        <v>-1.5</v>
      </c>
      <c r="AF26" s="130">
        <f t="shared" si="5"/>
        <v>-1.2</v>
      </c>
      <c r="AG26" s="131"/>
      <c r="AH26" s="131"/>
      <c r="AI26" s="131"/>
      <c r="AJ26" s="131"/>
      <c r="AK26" s="131"/>
      <c r="AL26" s="131"/>
      <c r="AM26" s="131"/>
      <c r="AN26" s="131"/>
      <c r="AO26" s="131"/>
    </row>
    <row r="27" spans="1:41" s="47" customFormat="1" ht="12" x14ac:dyDescent="0.25">
      <c r="A27" s="14">
        <v>23</v>
      </c>
      <c r="B27" s="206"/>
      <c r="C27" s="219"/>
      <c r="D27" s="210"/>
      <c r="E27" s="89" t="s">
        <v>126</v>
      </c>
      <c r="F27" s="14" t="s">
        <v>114</v>
      </c>
      <c r="G27" s="17" t="s">
        <v>110</v>
      </c>
      <c r="H27" s="162"/>
      <c r="I27" s="17">
        <v>80</v>
      </c>
      <c r="J27" s="17"/>
      <c r="K27" s="17"/>
      <c r="L27" s="17"/>
      <c r="M27" s="163"/>
      <c r="N27" s="165">
        <f t="shared" si="13"/>
        <v>0</v>
      </c>
      <c r="O27" s="14" t="s">
        <v>103</v>
      </c>
      <c r="P27" s="38"/>
      <c r="Q27" s="165">
        <f t="shared" si="14"/>
        <v>0</v>
      </c>
      <c r="R27" s="165">
        <f t="shared" si="12"/>
        <v>0</v>
      </c>
      <c r="S27" s="17" t="s">
        <v>111</v>
      </c>
      <c r="T27" s="17"/>
      <c r="U27" s="114"/>
      <c r="W27" s="154"/>
      <c r="X27" s="116">
        <v>2264.3711999999996</v>
      </c>
      <c r="Y27" s="111"/>
      <c r="Z27" s="116">
        <v>1.5</v>
      </c>
      <c r="AA27" s="111"/>
      <c r="AB27" s="117" t="str">
        <f>VLOOKUP(O27,{"甲级","1.2";"乙级","1.0";"丙级","0.8"},2,0)</f>
        <v>1.2</v>
      </c>
      <c r="AC27" s="111"/>
      <c r="AD27" s="130">
        <f t="shared" si="3"/>
        <v>-2264.3711999999996</v>
      </c>
      <c r="AE27" s="130">
        <f t="shared" si="4"/>
        <v>-1.5</v>
      </c>
      <c r="AF27" s="130">
        <f t="shared" si="5"/>
        <v>-1.2</v>
      </c>
      <c r="AG27" s="131"/>
      <c r="AH27" s="131"/>
      <c r="AI27" s="131"/>
      <c r="AJ27" s="131"/>
      <c r="AK27" s="131"/>
      <c r="AL27" s="131"/>
      <c r="AM27" s="131"/>
      <c r="AN27" s="131"/>
      <c r="AO27" s="131"/>
    </row>
    <row r="28" spans="1:41" s="47" customFormat="1" ht="12" x14ac:dyDescent="0.25">
      <c r="A28" s="14">
        <v>24</v>
      </c>
      <c r="B28" s="206"/>
      <c r="C28" s="219"/>
      <c r="D28" s="210"/>
      <c r="E28" s="89" t="s">
        <v>127</v>
      </c>
      <c r="F28" s="14" t="s">
        <v>114</v>
      </c>
      <c r="G28" s="17" t="s">
        <v>110</v>
      </c>
      <c r="H28" s="162"/>
      <c r="I28" s="17">
        <v>70</v>
      </c>
      <c r="J28" s="17"/>
      <c r="K28" s="17"/>
      <c r="L28" s="17"/>
      <c r="M28" s="163"/>
      <c r="N28" s="165">
        <f t="shared" si="13"/>
        <v>0</v>
      </c>
      <c r="O28" s="14" t="s">
        <v>103</v>
      </c>
      <c r="P28" s="38"/>
      <c r="Q28" s="165">
        <f t="shared" si="14"/>
        <v>0</v>
      </c>
      <c r="R28" s="165">
        <f t="shared" si="12"/>
        <v>0</v>
      </c>
      <c r="S28" s="17" t="s">
        <v>111</v>
      </c>
      <c r="T28" s="17"/>
      <c r="U28" s="114"/>
      <c r="W28" s="154"/>
      <c r="X28" s="116">
        <v>2717.2454399999992</v>
      </c>
      <c r="Y28" s="111"/>
      <c r="Z28" s="116">
        <v>1.5</v>
      </c>
      <c r="AA28" s="111"/>
      <c r="AB28" s="117" t="str">
        <f>VLOOKUP(O28,{"甲级","1.2";"乙级","1.0";"丙级","0.8"},2,0)</f>
        <v>1.2</v>
      </c>
      <c r="AC28" s="111"/>
      <c r="AD28" s="130">
        <f t="shared" si="3"/>
        <v>-2717.2454399999992</v>
      </c>
      <c r="AE28" s="130">
        <f t="shared" si="4"/>
        <v>-1.5</v>
      </c>
      <c r="AF28" s="130">
        <f t="shared" si="5"/>
        <v>-1.2</v>
      </c>
      <c r="AG28" s="131"/>
      <c r="AH28" s="131"/>
      <c r="AI28" s="131"/>
      <c r="AJ28" s="131"/>
      <c r="AK28" s="131"/>
      <c r="AL28" s="131"/>
      <c r="AM28" s="131"/>
      <c r="AN28" s="131"/>
      <c r="AO28" s="131"/>
    </row>
    <row r="29" spans="1:41" s="47" customFormat="1" ht="12" x14ac:dyDescent="0.25">
      <c r="A29" s="14">
        <v>25</v>
      </c>
      <c r="B29" s="206"/>
      <c r="C29" s="219"/>
      <c r="D29" s="210"/>
      <c r="E29" s="89" t="s">
        <v>128</v>
      </c>
      <c r="F29" s="14" t="s">
        <v>114</v>
      </c>
      <c r="G29" s="17" t="s">
        <v>110</v>
      </c>
      <c r="H29" s="162"/>
      <c r="I29" s="17">
        <v>60</v>
      </c>
      <c r="J29" s="17"/>
      <c r="K29" s="17"/>
      <c r="L29" s="17"/>
      <c r="M29" s="163"/>
      <c r="N29" s="165">
        <f t="shared" si="13"/>
        <v>0</v>
      </c>
      <c r="O29" s="14" t="s">
        <v>103</v>
      </c>
      <c r="P29" s="38"/>
      <c r="Q29" s="165">
        <f t="shared" si="14"/>
        <v>0</v>
      </c>
      <c r="R29" s="165">
        <f t="shared" si="12"/>
        <v>0</v>
      </c>
      <c r="S29" s="17" t="s">
        <v>111</v>
      </c>
      <c r="T29" s="17"/>
      <c r="U29" s="114"/>
      <c r="W29" s="154"/>
      <c r="X29" s="116">
        <v>3260.6945279999991</v>
      </c>
      <c r="Y29" s="111"/>
      <c r="Z29" s="116">
        <v>1.5</v>
      </c>
      <c r="AA29" s="111"/>
      <c r="AB29" s="117" t="str">
        <f>VLOOKUP(O29,{"甲级","1.2";"乙级","1.0";"丙级","0.8"},2,0)</f>
        <v>1.2</v>
      </c>
      <c r="AC29" s="111"/>
      <c r="AD29" s="130">
        <f t="shared" si="3"/>
        <v>-3260.6945279999991</v>
      </c>
      <c r="AE29" s="130">
        <f t="shared" si="4"/>
        <v>-1.5</v>
      </c>
      <c r="AF29" s="130">
        <f t="shared" si="5"/>
        <v>-1.2</v>
      </c>
      <c r="AG29" s="131"/>
      <c r="AH29" s="131"/>
      <c r="AI29" s="131"/>
      <c r="AJ29" s="131"/>
      <c r="AK29" s="131"/>
      <c r="AL29" s="131"/>
      <c r="AM29" s="131"/>
      <c r="AN29" s="131"/>
      <c r="AO29" s="131"/>
    </row>
    <row r="30" spans="1:41" s="47" customFormat="1" ht="12" x14ac:dyDescent="0.25">
      <c r="A30" s="14">
        <v>26</v>
      </c>
      <c r="B30" s="206"/>
      <c r="C30" s="219"/>
      <c r="D30" s="210"/>
      <c r="E30" s="89" t="s">
        <v>129</v>
      </c>
      <c r="F30" s="14" t="s">
        <v>114</v>
      </c>
      <c r="G30" s="17" t="s">
        <v>110</v>
      </c>
      <c r="H30" s="162"/>
      <c r="I30" s="17">
        <v>60</v>
      </c>
      <c r="J30" s="17"/>
      <c r="K30" s="17"/>
      <c r="L30" s="17"/>
      <c r="M30" s="163"/>
      <c r="N30" s="165">
        <f t="shared" si="13"/>
        <v>0</v>
      </c>
      <c r="O30" s="14" t="s">
        <v>103</v>
      </c>
      <c r="P30" s="38"/>
      <c r="Q30" s="165">
        <f t="shared" si="14"/>
        <v>0</v>
      </c>
      <c r="R30" s="165">
        <f t="shared" si="12"/>
        <v>0</v>
      </c>
      <c r="S30" s="17" t="s">
        <v>111</v>
      </c>
      <c r="T30" s="17"/>
      <c r="U30" s="114"/>
      <c r="W30" s="154"/>
      <c r="X30" s="116">
        <v>3912.8334335999989</v>
      </c>
      <c r="Y30" s="111"/>
      <c r="Z30" s="116">
        <v>1.5</v>
      </c>
      <c r="AA30" s="111"/>
      <c r="AB30" s="117" t="str">
        <f>VLOOKUP(O30,{"甲级","1.2";"乙级","1.0";"丙级","0.8"},2,0)</f>
        <v>1.2</v>
      </c>
      <c r="AC30" s="111"/>
      <c r="AD30" s="130">
        <f t="shared" si="3"/>
        <v>-3912.8334335999989</v>
      </c>
      <c r="AE30" s="130">
        <f t="shared" si="4"/>
        <v>-1.5</v>
      </c>
      <c r="AF30" s="130">
        <f t="shared" si="5"/>
        <v>-1.2</v>
      </c>
      <c r="AG30" s="131"/>
      <c r="AH30" s="131"/>
      <c r="AI30" s="131"/>
      <c r="AJ30" s="131"/>
      <c r="AK30" s="131"/>
      <c r="AL30" s="131"/>
      <c r="AM30" s="131"/>
      <c r="AN30" s="131"/>
      <c r="AO30" s="131"/>
    </row>
    <row r="31" spans="1:41" s="47" customFormat="1" ht="12" x14ac:dyDescent="0.25">
      <c r="A31" s="14">
        <v>27</v>
      </c>
      <c r="B31" s="206"/>
      <c r="C31" s="219"/>
      <c r="D31" s="210"/>
      <c r="E31" s="89" t="s">
        <v>130</v>
      </c>
      <c r="F31" s="14" t="s">
        <v>114</v>
      </c>
      <c r="G31" s="17" t="s">
        <v>110</v>
      </c>
      <c r="H31" s="162"/>
      <c r="I31" s="17">
        <v>60</v>
      </c>
      <c r="J31" s="17"/>
      <c r="K31" s="17"/>
      <c r="L31" s="17"/>
      <c r="M31" s="163"/>
      <c r="N31" s="165">
        <f t="shared" si="13"/>
        <v>0</v>
      </c>
      <c r="O31" s="14" t="s">
        <v>103</v>
      </c>
      <c r="P31" s="38"/>
      <c r="Q31" s="165">
        <f t="shared" si="14"/>
        <v>0</v>
      </c>
      <c r="R31" s="165">
        <f t="shared" si="12"/>
        <v>0</v>
      </c>
      <c r="S31" s="17" t="s">
        <v>111</v>
      </c>
      <c r="T31" s="17"/>
      <c r="U31" s="114"/>
      <c r="W31" s="154"/>
      <c r="X31" s="116">
        <v>4695.4001203199987</v>
      </c>
      <c r="Y31" s="111"/>
      <c r="Z31" s="116">
        <v>1.5</v>
      </c>
      <c r="AA31" s="111"/>
      <c r="AB31" s="117" t="str">
        <f>VLOOKUP(O31,{"甲级","1.2";"乙级","1.0";"丙级","0.8"},2,0)</f>
        <v>1.2</v>
      </c>
      <c r="AC31" s="111"/>
      <c r="AD31" s="130">
        <f t="shared" si="3"/>
        <v>-4695.4001203199987</v>
      </c>
      <c r="AE31" s="130">
        <f t="shared" si="4"/>
        <v>-1.5</v>
      </c>
      <c r="AF31" s="130">
        <f t="shared" si="5"/>
        <v>-1.2</v>
      </c>
      <c r="AG31" s="131"/>
      <c r="AH31" s="131"/>
      <c r="AI31" s="131"/>
      <c r="AJ31" s="131"/>
      <c r="AK31" s="131"/>
      <c r="AL31" s="131"/>
      <c r="AM31" s="131"/>
      <c r="AN31" s="131"/>
      <c r="AO31" s="131"/>
    </row>
    <row r="32" spans="1:41" s="47" customFormat="1" ht="12" x14ac:dyDescent="0.25">
      <c r="A32" s="14">
        <v>28</v>
      </c>
      <c r="B32" s="206"/>
      <c r="C32" s="219"/>
      <c r="D32" s="210"/>
      <c r="E32" s="89" t="s">
        <v>131</v>
      </c>
      <c r="F32" s="14" t="s">
        <v>114</v>
      </c>
      <c r="G32" s="17" t="s">
        <v>110</v>
      </c>
      <c r="H32" s="162"/>
      <c r="I32" s="17">
        <v>60</v>
      </c>
      <c r="J32" s="17"/>
      <c r="K32" s="17"/>
      <c r="L32" s="17"/>
      <c r="M32" s="163"/>
      <c r="N32" s="165">
        <f t="shared" si="13"/>
        <v>0</v>
      </c>
      <c r="O32" s="14" t="s">
        <v>103</v>
      </c>
      <c r="P32" s="38"/>
      <c r="Q32" s="165">
        <f t="shared" si="14"/>
        <v>0</v>
      </c>
      <c r="R32" s="165">
        <f t="shared" si="12"/>
        <v>0</v>
      </c>
      <c r="S32" s="17" t="s">
        <v>111</v>
      </c>
      <c r="T32" s="17"/>
      <c r="U32" s="114"/>
      <c r="W32" s="154"/>
      <c r="X32" s="116">
        <v>5634.4801443839979</v>
      </c>
      <c r="Y32" s="111"/>
      <c r="Z32" s="116">
        <v>1.5</v>
      </c>
      <c r="AA32" s="111"/>
      <c r="AB32" s="117" t="str">
        <f>VLOOKUP(O32,{"甲级","1.2";"乙级","1.0";"丙级","0.8"},2,0)</f>
        <v>1.2</v>
      </c>
      <c r="AC32" s="111"/>
      <c r="AD32" s="130">
        <f t="shared" si="3"/>
        <v>-5634.4801443839979</v>
      </c>
      <c r="AE32" s="130">
        <f t="shared" si="4"/>
        <v>-1.5</v>
      </c>
      <c r="AF32" s="130">
        <f t="shared" si="5"/>
        <v>-1.2</v>
      </c>
      <c r="AG32" s="131"/>
      <c r="AH32" s="131"/>
      <c r="AI32" s="131"/>
      <c r="AJ32" s="131"/>
      <c r="AK32" s="131"/>
      <c r="AL32" s="131"/>
      <c r="AM32" s="131"/>
      <c r="AN32" s="131"/>
      <c r="AO32" s="131"/>
    </row>
    <row r="33" spans="1:41" s="47" customFormat="1" ht="12" x14ac:dyDescent="0.25">
      <c r="A33" s="14">
        <v>29</v>
      </c>
      <c r="B33" s="206"/>
      <c r="C33" s="219"/>
      <c r="D33" s="210"/>
      <c r="E33" s="89" t="s">
        <v>132</v>
      </c>
      <c r="F33" s="14" t="s">
        <v>114</v>
      </c>
      <c r="G33" s="17" t="s">
        <v>110</v>
      </c>
      <c r="H33" s="162"/>
      <c r="I33" s="17">
        <v>60</v>
      </c>
      <c r="J33" s="17"/>
      <c r="K33" s="17"/>
      <c r="L33" s="17"/>
      <c r="M33" s="163"/>
      <c r="N33" s="165">
        <f t="shared" si="13"/>
        <v>0</v>
      </c>
      <c r="O33" s="14" t="s">
        <v>103</v>
      </c>
      <c r="P33" s="38"/>
      <c r="Q33" s="165">
        <f t="shared" si="14"/>
        <v>0</v>
      </c>
      <c r="R33" s="165">
        <f t="shared" si="12"/>
        <v>0</v>
      </c>
      <c r="S33" s="17" t="s">
        <v>111</v>
      </c>
      <c r="T33" s="17"/>
      <c r="U33" s="114"/>
      <c r="W33" s="154"/>
      <c r="X33" s="116">
        <v>6761.3761732607973</v>
      </c>
      <c r="Y33" s="111"/>
      <c r="Z33" s="116">
        <v>1.5</v>
      </c>
      <c r="AA33" s="111"/>
      <c r="AB33" s="117" t="str">
        <f>VLOOKUP(O33,{"甲级","1.2";"乙级","1.0";"丙级","0.8"},2,0)</f>
        <v>1.2</v>
      </c>
      <c r="AC33" s="111"/>
      <c r="AD33" s="130">
        <f t="shared" si="3"/>
        <v>-6761.3761732607973</v>
      </c>
      <c r="AE33" s="130">
        <f t="shared" si="4"/>
        <v>-1.5</v>
      </c>
      <c r="AF33" s="130">
        <f t="shared" si="5"/>
        <v>-1.2</v>
      </c>
      <c r="AG33" s="131"/>
      <c r="AH33" s="131"/>
      <c r="AI33" s="131"/>
      <c r="AJ33" s="131"/>
      <c r="AK33" s="131"/>
      <c r="AL33" s="131"/>
      <c r="AM33" s="131"/>
      <c r="AN33" s="131"/>
      <c r="AO33" s="131"/>
    </row>
    <row r="34" spans="1:41" s="47" customFormat="1" ht="12" x14ac:dyDescent="0.25">
      <c r="A34" s="14">
        <v>30</v>
      </c>
      <c r="B34" s="206"/>
      <c r="C34" s="219"/>
      <c r="D34" s="210"/>
      <c r="E34" s="89" t="s">
        <v>133</v>
      </c>
      <c r="F34" s="14" t="s">
        <v>114</v>
      </c>
      <c r="G34" s="17" t="s">
        <v>110</v>
      </c>
      <c r="H34" s="162"/>
      <c r="I34" s="17">
        <v>40</v>
      </c>
      <c r="J34" s="17"/>
      <c r="K34" s="17"/>
      <c r="L34" s="17"/>
      <c r="M34" s="163"/>
      <c r="N34" s="165">
        <f t="shared" si="13"/>
        <v>0</v>
      </c>
      <c r="O34" s="14" t="s">
        <v>103</v>
      </c>
      <c r="P34" s="38"/>
      <c r="Q34" s="165">
        <f t="shared" si="14"/>
        <v>0</v>
      </c>
      <c r="R34" s="165">
        <f t="shared" si="12"/>
        <v>0</v>
      </c>
      <c r="S34" s="17" t="s">
        <v>111</v>
      </c>
      <c r="T34" s="17"/>
      <c r="U34" s="114"/>
      <c r="W34" s="154"/>
      <c r="X34" s="116">
        <v>6761.3761732607973</v>
      </c>
      <c r="Y34" s="111"/>
      <c r="Z34" s="116">
        <v>1.5</v>
      </c>
      <c r="AA34" s="111"/>
      <c r="AB34" s="117" t="str">
        <f>VLOOKUP(O34,{"甲级","1.2";"乙级","1.0";"丙级","0.8"},2,0)</f>
        <v>1.2</v>
      </c>
      <c r="AC34" s="111"/>
      <c r="AD34" s="130">
        <f t="shared" si="3"/>
        <v>-6761.3761732607973</v>
      </c>
      <c r="AE34" s="130">
        <f t="shared" si="4"/>
        <v>-1.5</v>
      </c>
      <c r="AF34" s="130">
        <f t="shared" si="5"/>
        <v>-1.2</v>
      </c>
      <c r="AG34" s="131"/>
      <c r="AH34" s="131"/>
      <c r="AI34" s="131"/>
      <c r="AJ34" s="131"/>
      <c r="AK34" s="131"/>
      <c r="AL34" s="131"/>
      <c r="AM34" s="131"/>
      <c r="AN34" s="131"/>
      <c r="AO34" s="131"/>
    </row>
    <row r="35" spans="1:41" s="47" customFormat="1" ht="12" x14ac:dyDescent="0.25">
      <c r="A35" s="14">
        <v>31</v>
      </c>
      <c r="B35" s="206"/>
      <c r="C35" s="219"/>
      <c r="D35" s="210"/>
      <c r="E35" s="89" t="s">
        <v>134</v>
      </c>
      <c r="F35" s="14" t="s">
        <v>114</v>
      </c>
      <c r="G35" s="17" t="s">
        <v>110</v>
      </c>
      <c r="H35" s="162"/>
      <c r="I35" s="17">
        <v>40</v>
      </c>
      <c r="J35" s="17"/>
      <c r="K35" s="17"/>
      <c r="L35" s="17"/>
      <c r="M35" s="163"/>
      <c r="N35" s="165">
        <f t="shared" si="13"/>
        <v>0</v>
      </c>
      <c r="O35" s="14" t="s">
        <v>103</v>
      </c>
      <c r="P35" s="38"/>
      <c r="Q35" s="165">
        <f t="shared" si="14"/>
        <v>0</v>
      </c>
      <c r="R35" s="165">
        <f t="shared" si="12"/>
        <v>0</v>
      </c>
      <c r="S35" s="17" t="s">
        <v>111</v>
      </c>
      <c r="T35" s="17"/>
      <c r="U35" s="114"/>
      <c r="W35" s="154"/>
      <c r="X35" s="116">
        <v>6761.3761732607973</v>
      </c>
      <c r="Y35" s="111"/>
      <c r="Z35" s="116">
        <v>1.5</v>
      </c>
      <c r="AA35" s="111"/>
      <c r="AB35" s="117" t="str">
        <f>VLOOKUP(O35,{"甲级","1.2";"乙级","1.0";"丙级","0.8"},2,0)</f>
        <v>1.2</v>
      </c>
      <c r="AC35" s="111"/>
      <c r="AD35" s="130">
        <f t="shared" si="3"/>
        <v>-6761.3761732607973</v>
      </c>
      <c r="AE35" s="130">
        <f t="shared" si="4"/>
        <v>-1.5</v>
      </c>
      <c r="AF35" s="130">
        <f t="shared" si="5"/>
        <v>-1.2</v>
      </c>
      <c r="AG35" s="131"/>
      <c r="AH35" s="131"/>
      <c r="AI35" s="131"/>
      <c r="AJ35" s="131"/>
      <c r="AK35" s="131"/>
      <c r="AL35" s="131"/>
      <c r="AM35" s="131"/>
      <c r="AN35" s="131"/>
      <c r="AO35" s="131"/>
    </row>
    <row r="36" spans="1:41" s="47" customFormat="1" ht="12" x14ac:dyDescent="0.25">
      <c r="A36" s="14">
        <v>32</v>
      </c>
      <c r="B36" s="206"/>
      <c r="C36" s="219"/>
      <c r="D36" s="210"/>
      <c r="E36" s="89" t="s">
        <v>135</v>
      </c>
      <c r="F36" s="14" t="s">
        <v>114</v>
      </c>
      <c r="G36" s="17" t="s">
        <v>110</v>
      </c>
      <c r="H36" s="162"/>
      <c r="I36" s="17">
        <v>40</v>
      </c>
      <c r="J36" s="17"/>
      <c r="K36" s="17"/>
      <c r="L36" s="17"/>
      <c r="M36" s="163"/>
      <c r="N36" s="165">
        <f t="shared" si="13"/>
        <v>0</v>
      </c>
      <c r="O36" s="14" t="s">
        <v>103</v>
      </c>
      <c r="P36" s="38"/>
      <c r="Q36" s="165">
        <f t="shared" si="14"/>
        <v>0</v>
      </c>
      <c r="R36" s="165">
        <f t="shared" si="12"/>
        <v>0</v>
      </c>
      <c r="S36" s="17" t="s">
        <v>111</v>
      </c>
      <c r="T36" s="17"/>
      <c r="U36" s="114"/>
      <c r="W36" s="154"/>
      <c r="X36" s="116">
        <v>6761.3761732607973</v>
      </c>
      <c r="Y36" s="111"/>
      <c r="Z36" s="116">
        <v>1.5</v>
      </c>
      <c r="AA36" s="111"/>
      <c r="AB36" s="117" t="str">
        <f>VLOOKUP(O36,{"甲级","1.2";"乙级","1.0";"丙级","0.8"},2,0)</f>
        <v>1.2</v>
      </c>
      <c r="AC36" s="111"/>
      <c r="AD36" s="130">
        <f t="shared" si="3"/>
        <v>-6761.3761732607973</v>
      </c>
      <c r="AE36" s="130">
        <f t="shared" si="4"/>
        <v>-1.5</v>
      </c>
      <c r="AF36" s="130">
        <f t="shared" si="5"/>
        <v>-1.2</v>
      </c>
      <c r="AG36" s="131"/>
      <c r="AH36" s="131"/>
      <c r="AI36" s="131"/>
      <c r="AJ36" s="131"/>
      <c r="AK36" s="131"/>
      <c r="AL36" s="131"/>
      <c r="AM36" s="131"/>
      <c r="AN36" s="131"/>
      <c r="AO36" s="131"/>
    </row>
    <row r="37" spans="1:41" s="47" customFormat="1" ht="12" x14ac:dyDescent="0.25">
      <c r="A37" s="14">
        <v>33</v>
      </c>
      <c r="B37" s="206"/>
      <c r="C37" s="219"/>
      <c r="D37" s="210"/>
      <c r="E37" s="89" t="s">
        <v>136</v>
      </c>
      <c r="F37" s="14" t="s">
        <v>114</v>
      </c>
      <c r="G37" s="17" t="s">
        <v>110</v>
      </c>
      <c r="H37" s="162"/>
      <c r="I37" s="17">
        <v>30</v>
      </c>
      <c r="J37" s="17"/>
      <c r="K37" s="17"/>
      <c r="L37" s="17"/>
      <c r="M37" s="163"/>
      <c r="N37" s="165">
        <f t="shared" si="13"/>
        <v>0</v>
      </c>
      <c r="O37" s="14" t="s">
        <v>103</v>
      </c>
      <c r="P37" s="38"/>
      <c r="Q37" s="165">
        <f t="shared" si="14"/>
        <v>0</v>
      </c>
      <c r="R37" s="165">
        <f t="shared" si="12"/>
        <v>0</v>
      </c>
      <c r="S37" s="17" t="s">
        <v>111</v>
      </c>
      <c r="T37" s="17"/>
      <c r="U37" s="114"/>
      <c r="W37" s="154"/>
      <c r="X37" s="116">
        <v>6761.3761732607973</v>
      </c>
      <c r="Y37" s="111"/>
      <c r="Z37" s="116">
        <v>1.5</v>
      </c>
      <c r="AA37" s="111"/>
      <c r="AB37" s="117" t="str">
        <f>VLOOKUP(O37,{"甲级","1.2";"乙级","1.0";"丙级","0.8"},2,0)</f>
        <v>1.2</v>
      </c>
      <c r="AC37" s="111"/>
      <c r="AD37" s="130">
        <f t="shared" si="3"/>
        <v>-6761.3761732607973</v>
      </c>
      <c r="AE37" s="130">
        <f t="shared" si="4"/>
        <v>-1.5</v>
      </c>
      <c r="AF37" s="130">
        <f t="shared" si="5"/>
        <v>-1.2</v>
      </c>
      <c r="AG37" s="131"/>
      <c r="AH37" s="131"/>
      <c r="AI37" s="131"/>
      <c r="AJ37" s="131"/>
      <c r="AK37" s="131"/>
      <c r="AL37" s="131"/>
      <c r="AM37" s="131"/>
      <c r="AN37" s="131"/>
      <c r="AO37" s="131"/>
    </row>
    <row r="38" spans="1:41" s="47" customFormat="1" ht="12" x14ac:dyDescent="0.25">
      <c r="A38" s="14">
        <v>34</v>
      </c>
      <c r="B38" s="206"/>
      <c r="C38" s="219"/>
      <c r="D38" s="210"/>
      <c r="E38" s="89" t="s">
        <v>137</v>
      </c>
      <c r="F38" s="14" t="s">
        <v>114</v>
      </c>
      <c r="G38" s="17" t="s">
        <v>110</v>
      </c>
      <c r="H38" s="162"/>
      <c r="I38" s="17">
        <v>10</v>
      </c>
      <c r="J38" s="17"/>
      <c r="K38" s="17"/>
      <c r="L38" s="17"/>
      <c r="M38" s="163"/>
      <c r="N38" s="165">
        <f t="shared" si="13"/>
        <v>0</v>
      </c>
      <c r="O38" s="14" t="s">
        <v>103</v>
      </c>
      <c r="P38" s="38"/>
      <c r="Q38" s="165">
        <f t="shared" si="14"/>
        <v>0</v>
      </c>
      <c r="R38" s="165">
        <f t="shared" si="12"/>
        <v>0</v>
      </c>
      <c r="S38" s="17"/>
      <c r="T38" s="17"/>
      <c r="U38" s="114"/>
      <c r="W38" s="154"/>
      <c r="X38" s="116">
        <v>6761.3761732607973</v>
      </c>
      <c r="Y38" s="111"/>
      <c r="Z38" s="116">
        <v>1.5</v>
      </c>
      <c r="AA38" s="111"/>
      <c r="AB38" s="117" t="str">
        <f>VLOOKUP(O38,{"甲级","1.2";"乙级","1.0";"丙级","0.8"},2,0)</f>
        <v>1.2</v>
      </c>
      <c r="AC38" s="111"/>
      <c r="AD38" s="130">
        <f t="shared" si="3"/>
        <v>-6761.3761732607973</v>
      </c>
      <c r="AE38" s="130">
        <f t="shared" si="4"/>
        <v>-1.5</v>
      </c>
      <c r="AF38" s="130">
        <f t="shared" si="5"/>
        <v>-1.2</v>
      </c>
      <c r="AG38" s="131"/>
      <c r="AH38" s="131"/>
      <c r="AI38" s="131"/>
      <c r="AJ38" s="131"/>
      <c r="AK38" s="131"/>
      <c r="AL38" s="131"/>
      <c r="AM38" s="131"/>
      <c r="AN38" s="131"/>
      <c r="AO38" s="131"/>
    </row>
    <row r="39" spans="1:41" s="47" customFormat="1" ht="12" x14ac:dyDescent="0.25">
      <c r="A39" s="14">
        <v>35</v>
      </c>
      <c r="B39" s="206"/>
      <c r="C39" s="219"/>
      <c r="D39" s="210"/>
      <c r="E39" s="89" t="s">
        <v>138</v>
      </c>
      <c r="F39" s="14" t="s">
        <v>114</v>
      </c>
      <c r="G39" s="17" t="s">
        <v>110</v>
      </c>
      <c r="H39" s="162"/>
      <c r="I39" s="17"/>
      <c r="J39" s="17"/>
      <c r="K39" s="17"/>
      <c r="L39" s="17"/>
      <c r="M39" s="163"/>
      <c r="N39" s="165">
        <f t="shared" si="13"/>
        <v>0</v>
      </c>
      <c r="O39" s="14" t="s">
        <v>103</v>
      </c>
      <c r="P39" s="38"/>
      <c r="Q39" s="165">
        <f t="shared" si="14"/>
        <v>0</v>
      </c>
      <c r="R39" s="165">
        <f t="shared" si="12"/>
        <v>0</v>
      </c>
      <c r="S39" s="17"/>
      <c r="T39" s="17"/>
      <c r="U39" s="114"/>
      <c r="W39" s="154"/>
      <c r="X39" s="116">
        <v>8113.6514079129565</v>
      </c>
      <c r="Y39" s="111"/>
      <c r="Z39" s="116">
        <v>1.5</v>
      </c>
      <c r="AA39" s="111"/>
      <c r="AB39" s="117" t="str">
        <f>VLOOKUP(O39,{"甲级","1.2";"乙级","1.0";"丙级","0.8"},2,0)</f>
        <v>1.2</v>
      </c>
      <c r="AC39" s="111"/>
      <c r="AD39" s="130">
        <f t="shared" si="3"/>
        <v>-8113.6514079129565</v>
      </c>
      <c r="AE39" s="130">
        <f t="shared" si="4"/>
        <v>-1.5</v>
      </c>
      <c r="AF39" s="130">
        <f t="shared" si="5"/>
        <v>-1.2</v>
      </c>
      <c r="AG39" s="131"/>
      <c r="AH39" s="131"/>
      <c r="AI39" s="131"/>
      <c r="AJ39" s="131"/>
      <c r="AK39" s="131"/>
      <c r="AL39" s="131"/>
      <c r="AM39" s="131"/>
      <c r="AN39" s="131"/>
      <c r="AO39" s="131"/>
    </row>
    <row r="40" spans="1:41" s="47" customFormat="1" ht="36" x14ac:dyDescent="0.25">
      <c r="A40" s="14">
        <v>36</v>
      </c>
      <c r="B40" s="206"/>
      <c r="C40" s="219" t="s">
        <v>139</v>
      </c>
      <c r="D40" s="210" t="s">
        <v>140</v>
      </c>
      <c r="E40" s="89" t="s">
        <v>109</v>
      </c>
      <c r="F40" s="14" t="s">
        <v>36</v>
      </c>
      <c r="G40" s="17" t="s">
        <v>110</v>
      </c>
      <c r="H40" s="162"/>
      <c r="I40" s="17">
        <v>25</v>
      </c>
      <c r="J40" s="17"/>
      <c r="K40" s="17"/>
      <c r="L40" s="17" t="s">
        <v>141</v>
      </c>
      <c r="M40" s="163"/>
      <c r="N40" s="165">
        <f t="shared" si="13"/>
        <v>0</v>
      </c>
      <c r="O40" s="14" t="s">
        <v>103</v>
      </c>
      <c r="P40" s="38"/>
      <c r="Q40" s="165">
        <f t="shared" si="14"/>
        <v>0</v>
      </c>
      <c r="R40" s="165">
        <f t="shared" si="12"/>
        <v>0</v>
      </c>
      <c r="S40" s="17" t="s">
        <v>111</v>
      </c>
      <c r="T40" s="17" t="s">
        <v>142</v>
      </c>
      <c r="U40" s="114"/>
      <c r="W40" s="154"/>
      <c r="X40" s="116" t="str">
        <f>VLOOKUP(F40,{"Ⅰ","46";"Ⅱ","71";"Ⅲ","117";"Ⅳ","207";"Ⅴ","301";"Ⅵ","382"},2,0)</f>
        <v>117</v>
      </c>
      <c r="Y40" s="111" t="s">
        <v>142</v>
      </c>
      <c r="Z40" s="116">
        <v>2.5</v>
      </c>
      <c r="AA40" s="111"/>
      <c r="AB40" s="117" t="str">
        <f>VLOOKUP(O40,{"甲级","1.2";"乙级","1.0";"丙级","0.8"},2,0)</f>
        <v>1.2</v>
      </c>
      <c r="AC40" s="111"/>
      <c r="AD40" s="130">
        <f t="shared" si="3"/>
        <v>-117</v>
      </c>
      <c r="AE40" s="130">
        <f t="shared" si="4"/>
        <v>-2.5</v>
      </c>
      <c r="AF40" s="130">
        <f t="shared" si="5"/>
        <v>-1.2</v>
      </c>
      <c r="AG40" s="131"/>
      <c r="AH40" s="131"/>
      <c r="AI40" s="131"/>
      <c r="AJ40" s="131"/>
      <c r="AK40" s="131"/>
      <c r="AL40" s="131"/>
      <c r="AM40" s="131"/>
      <c r="AN40" s="131"/>
      <c r="AO40" s="131"/>
    </row>
    <row r="41" spans="1:41" s="47" customFormat="1" ht="36" x14ac:dyDescent="0.25">
      <c r="A41" s="14">
        <v>37</v>
      </c>
      <c r="B41" s="206"/>
      <c r="C41" s="219"/>
      <c r="D41" s="210"/>
      <c r="E41" s="89" t="s">
        <v>109</v>
      </c>
      <c r="F41" s="14" t="s">
        <v>113</v>
      </c>
      <c r="G41" s="17" t="s">
        <v>110</v>
      </c>
      <c r="H41" s="162"/>
      <c r="I41" s="17">
        <v>25</v>
      </c>
      <c r="J41" s="17"/>
      <c r="K41" s="17"/>
      <c r="L41" s="17" t="s">
        <v>141</v>
      </c>
      <c r="M41" s="163"/>
      <c r="N41" s="165">
        <f t="shared" si="13"/>
        <v>0</v>
      </c>
      <c r="O41" s="14" t="s">
        <v>103</v>
      </c>
      <c r="P41" s="38"/>
      <c r="Q41" s="165">
        <f t="shared" si="14"/>
        <v>0</v>
      </c>
      <c r="R41" s="165">
        <f t="shared" si="12"/>
        <v>0</v>
      </c>
      <c r="S41" s="17" t="s">
        <v>111</v>
      </c>
      <c r="T41" s="17" t="s">
        <v>142</v>
      </c>
      <c r="U41" s="114"/>
      <c r="W41" s="154"/>
      <c r="X41" s="116" t="str">
        <f>VLOOKUP(F41,{"Ⅰ","46";"Ⅱ","71";"Ⅲ","117";"Ⅳ","207";"Ⅴ","301";"Ⅵ","382"},2,0)</f>
        <v>207</v>
      </c>
      <c r="Y41" s="111" t="s">
        <v>142</v>
      </c>
      <c r="Z41" s="116">
        <v>2.5</v>
      </c>
      <c r="AA41" s="111"/>
      <c r="AB41" s="117" t="str">
        <f>VLOOKUP(O41,{"甲级","1.2";"乙级","1.0";"丙级","0.8"},2,0)</f>
        <v>1.2</v>
      </c>
      <c r="AC41" s="111"/>
      <c r="AD41" s="130">
        <f t="shared" si="3"/>
        <v>-207</v>
      </c>
      <c r="AE41" s="130">
        <f t="shared" si="4"/>
        <v>-2.5</v>
      </c>
      <c r="AF41" s="130">
        <f t="shared" si="5"/>
        <v>-1.2</v>
      </c>
      <c r="AG41" s="131"/>
      <c r="AH41" s="131"/>
      <c r="AI41" s="131"/>
      <c r="AJ41" s="131"/>
      <c r="AK41" s="131"/>
      <c r="AL41" s="131"/>
      <c r="AM41" s="131"/>
      <c r="AN41" s="131"/>
      <c r="AO41" s="131"/>
    </row>
    <row r="42" spans="1:41" s="47" customFormat="1" ht="12" x14ac:dyDescent="0.25">
      <c r="A42" s="14">
        <v>38</v>
      </c>
      <c r="B42" s="206"/>
      <c r="C42" s="219"/>
      <c r="D42" s="210"/>
      <c r="E42" s="89" t="s">
        <v>115</v>
      </c>
      <c r="F42" s="14" t="s">
        <v>113</v>
      </c>
      <c r="G42" s="17" t="s">
        <v>110</v>
      </c>
      <c r="H42" s="162"/>
      <c r="I42" s="17">
        <v>50</v>
      </c>
      <c r="J42" s="17"/>
      <c r="K42" s="17"/>
      <c r="L42" s="17"/>
      <c r="M42" s="163"/>
      <c r="N42" s="165">
        <f t="shared" ref="N42:N47" si="15">H42*I42*M42</f>
        <v>0</v>
      </c>
      <c r="O42" s="14" t="s">
        <v>103</v>
      </c>
      <c r="P42" s="38"/>
      <c r="Q42" s="165">
        <f t="shared" ref="Q42:Q47" si="16">N42*P42</f>
        <v>0</v>
      </c>
      <c r="R42" s="165">
        <f t="shared" ref="R42:R50" si="17">N42+Q42</f>
        <v>0</v>
      </c>
      <c r="S42" s="17" t="s">
        <v>111</v>
      </c>
      <c r="T42" s="17"/>
      <c r="U42" s="114"/>
      <c r="W42" s="154"/>
      <c r="X42" s="116" t="str">
        <f>VLOOKUP(F42,{"Ⅰ","58";"Ⅱ","89";"Ⅲ","147";"Ⅳ","259";"Ⅴ","377";"Ⅵ","477"},2,0)</f>
        <v>259</v>
      </c>
      <c r="Y42" s="111"/>
      <c r="Z42" s="116">
        <v>2.5</v>
      </c>
      <c r="AA42" s="111"/>
      <c r="AB42" s="117" t="str">
        <f>VLOOKUP(O42,{"甲级","1.2";"乙级","1.0";"丙级","0.8"},2,0)</f>
        <v>1.2</v>
      </c>
      <c r="AC42" s="111"/>
      <c r="AD42" s="130">
        <f t="shared" si="3"/>
        <v>-259</v>
      </c>
      <c r="AE42" s="130">
        <f t="shared" si="4"/>
        <v>-2.5</v>
      </c>
      <c r="AF42" s="130">
        <f t="shared" si="5"/>
        <v>-1.2</v>
      </c>
      <c r="AG42" s="131"/>
      <c r="AH42" s="131"/>
      <c r="AI42" s="131"/>
      <c r="AJ42" s="131"/>
      <c r="AK42" s="131"/>
      <c r="AL42" s="131"/>
      <c r="AM42" s="131"/>
      <c r="AN42" s="131"/>
      <c r="AO42" s="131"/>
    </row>
    <row r="43" spans="1:41" s="47" customFormat="1" ht="12" x14ac:dyDescent="0.25">
      <c r="A43" s="14">
        <v>39</v>
      </c>
      <c r="B43" s="206"/>
      <c r="C43" s="219"/>
      <c r="D43" s="210"/>
      <c r="E43" s="89" t="s">
        <v>117</v>
      </c>
      <c r="F43" s="14" t="s">
        <v>113</v>
      </c>
      <c r="G43" s="17" t="s">
        <v>110</v>
      </c>
      <c r="H43" s="162"/>
      <c r="I43" s="17">
        <v>50</v>
      </c>
      <c r="J43" s="17"/>
      <c r="K43" s="17"/>
      <c r="L43" s="17"/>
      <c r="M43" s="163"/>
      <c r="N43" s="165">
        <f t="shared" si="15"/>
        <v>0</v>
      </c>
      <c r="O43" s="14" t="s">
        <v>103</v>
      </c>
      <c r="P43" s="38"/>
      <c r="Q43" s="165">
        <f t="shared" si="16"/>
        <v>0</v>
      </c>
      <c r="R43" s="165">
        <f t="shared" si="17"/>
        <v>0</v>
      </c>
      <c r="S43" s="17" t="s">
        <v>111</v>
      </c>
      <c r="T43" s="17"/>
      <c r="U43" s="114"/>
      <c r="W43" s="154"/>
      <c r="X43" s="116" t="str">
        <f>VLOOKUP(F43,{"Ⅰ","69";"Ⅱ","107";"Ⅲ","176";"Ⅳ","311";"Ⅴ","452";"Ⅵ","573"},2,0)</f>
        <v>311</v>
      </c>
      <c r="Y43" s="111"/>
      <c r="Z43" s="116">
        <v>2.5</v>
      </c>
      <c r="AA43" s="111"/>
      <c r="AB43" s="117" t="str">
        <f>VLOOKUP(O43,{"甲级","1.2";"乙级","1.0";"丙级","0.8"},2,0)</f>
        <v>1.2</v>
      </c>
      <c r="AC43" s="111"/>
      <c r="AD43" s="130">
        <f t="shared" si="3"/>
        <v>-311</v>
      </c>
      <c r="AE43" s="130">
        <f t="shared" si="4"/>
        <v>-2.5</v>
      </c>
      <c r="AF43" s="130">
        <f t="shared" si="5"/>
        <v>-1.2</v>
      </c>
      <c r="AG43" s="131"/>
      <c r="AH43" s="131"/>
      <c r="AI43" s="131"/>
      <c r="AJ43" s="131"/>
      <c r="AK43" s="131"/>
      <c r="AL43" s="131"/>
      <c r="AM43" s="131"/>
      <c r="AN43" s="131"/>
      <c r="AO43" s="131"/>
    </row>
    <row r="44" spans="1:41" s="47" customFormat="1" ht="12" x14ac:dyDescent="0.25">
      <c r="A44" s="14">
        <v>40</v>
      </c>
      <c r="B44" s="206"/>
      <c r="C44" s="219"/>
      <c r="D44" s="210"/>
      <c r="E44" s="89" t="s">
        <v>118</v>
      </c>
      <c r="F44" s="14" t="s">
        <v>113</v>
      </c>
      <c r="G44" s="17" t="s">
        <v>110</v>
      </c>
      <c r="H44" s="162"/>
      <c r="I44" s="17">
        <v>25</v>
      </c>
      <c r="J44" s="17"/>
      <c r="K44" s="17"/>
      <c r="L44" s="17"/>
      <c r="M44" s="163"/>
      <c r="N44" s="165">
        <f t="shared" si="15"/>
        <v>0</v>
      </c>
      <c r="O44" s="14" t="s">
        <v>103</v>
      </c>
      <c r="P44" s="38"/>
      <c r="Q44" s="165">
        <f t="shared" si="16"/>
        <v>0</v>
      </c>
      <c r="R44" s="165">
        <f t="shared" si="17"/>
        <v>0</v>
      </c>
      <c r="S44" s="17" t="s">
        <v>111</v>
      </c>
      <c r="T44" s="17"/>
      <c r="U44" s="114"/>
      <c r="W44" s="154"/>
      <c r="X44" s="116" t="str">
        <f>VLOOKUP(F44,{"Ⅰ","82";"Ⅱ","127";"Ⅲ","209";"Ⅳ","368";"Ⅴ","536";"Ⅵ","680"},2,0)</f>
        <v>368</v>
      </c>
      <c r="Y44" s="111"/>
      <c r="Z44" s="116">
        <v>2.5</v>
      </c>
      <c r="AA44" s="111"/>
      <c r="AB44" s="117" t="str">
        <f>VLOOKUP(O44,{"甲级","1.2";"乙级","1.0";"丙级","0.8"},2,0)</f>
        <v>1.2</v>
      </c>
      <c r="AC44" s="111"/>
      <c r="AD44" s="130">
        <f t="shared" si="3"/>
        <v>-368</v>
      </c>
      <c r="AE44" s="130">
        <f t="shared" si="4"/>
        <v>-2.5</v>
      </c>
      <c r="AF44" s="130">
        <f t="shared" si="5"/>
        <v>-1.2</v>
      </c>
      <c r="AG44" s="131"/>
      <c r="AH44" s="131"/>
      <c r="AI44" s="131"/>
      <c r="AJ44" s="131"/>
      <c r="AK44" s="131"/>
      <c r="AL44" s="131"/>
      <c r="AM44" s="131"/>
      <c r="AN44" s="131"/>
      <c r="AO44" s="131"/>
    </row>
    <row r="45" spans="1:41" s="47" customFormat="1" ht="12" x14ac:dyDescent="0.25">
      <c r="A45" s="14">
        <v>41</v>
      </c>
      <c r="B45" s="206"/>
      <c r="C45" s="219"/>
      <c r="D45" s="210"/>
      <c r="E45" s="89" t="s">
        <v>118</v>
      </c>
      <c r="F45" s="14" t="s">
        <v>116</v>
      </c>
      <c r="G45" s="17" t="s">
        <v>110</v>
      </c>
      <c r="H45" s="162"/>
      <c r="I45" s="17">
        <v>25</v>
      </c>
      <c r="J45" s="17"/>
      <c r="K45" s="17"/>
      <c r="L45" s="17"/>
      <c r="M45" s="163"/>
      <c r="N45" s="165">
        <f t="shared" si="15"/>
        <v>0</v>
      </c>
      <c r="O45" s="14" t="s">
        <v>103</v>
      </c>
      <c r="P45" s="38"/>
      <c r="Q45" s="165">
        <f t="shared" si="16"/>
        <v>0</v>
      </c>
      <c r="R45" s="165">
        <f t="shared" si="17"/>
        <v>0</v>
      </c>
      <c r="S45" s="17" t="s">
        <v>111</v>
      </c>
      <c r="T45" s="17"/>
      <c r="U45" s="114"/>
      <c r="W45" s="154"/>
      <c r="X45" s="116" t="str">
        <f>VLOOKUP(F45,{"Ⅰ","82";"Ⅱ","127";"Ⅲ","209";"Ⅳ","368";"Ⅴ","536";"Ⅵ","680"},2,0)</f>
        <v>536</v>
      </c>
      <c r="Y45" s="111"/>
      <c r="Z45" s="116">
        <v>2.5</v>
      </c>
      <c r="AA45" s="111"/>
      <c r="AB45" s="117" t="str">
        <f>VLOOKUP(O45,{"甲级","1.2";"乙级","1.0";"丙级","0.8"},2,0)</f>
        <v>1.2</v>
      </c>
      <c r="AC45" s="111"/>
      <c r="AD45" s="130">
        <f t="shared" si="3"/>
        <v>-536</v>
      </c>
      <c r="AE45" s="130">
        <f t="shared" si="4"/>
        <v>-2.5</v>
      </c>
      <c r="AF45" s="130">
        <f t="shared" si="5"/>
        <v>-1.2</v>
      </c>
      <c r="AG45" s="131"/>
      <c r="AH45" s="131"/>
      <c r="AI45" s="131"/>
      <c r="AJ45" s="131"/>
      <c r="AK45" s="131"/>
      <c r="AL45" s="131"/>
      <c r="AM45" s="131"/>
      <c r="AN45" s="131"/>
      <c r="AO45" s="131"/>
    </row>
    <row r="46" spans="1:41" s="47" customFormat="1" ht="12" x14ac:dyDescent="0.25">
      <c r="A46" s="14">
        <v>42</v>
      </c>
      <c r="B46" s="206"/>
      <c r="C46" s="219"/>
      <c r="D46" s="210"/>
      <c r="E46" s="89" t="s">
        <v>119</v>
      </c>
      <c r="F46" s="14" t="s">
        <v>116</v>
      </c>
      <c r="G46" s="17" t="s">
        <v>110</v>
      </c>
      <c r="H46" s="162"/>
      <c r="I46" s="17">
        <v>25</v>
      </c>
      <c r="J46" s="17"/>
      <c r="K46" s="17"/>
      <c r="L46" s="17"/>
      <c r="M46" s="163"/>
      <c r="N46" s="165">
        <f t="shared" si="15"/>
        <v>0</v>
      </c>
      <c r="O46" s="14" t="s">
        <v>103</v>
      </c>
      <c r="P46" s="38"/>
      <c r="Q46" s="165">
        <f t="shared" si="16"/>
        <v>0</v>
      </c>
      <c r="R46" s="165">
        <f t="shared" si="17"/>
        <v>0</v>
      </c>
      <c r="S46" s="17" t="s">
        <v>111</v>
      </c>
      <c r="T46" s="17"/>
      <c r="U46" s="115"/>
      <c r="W46" s="154"/>
      <c r="X46" s="116" t="str">
        <f>VLOOKUP(F46,{"Ⅰ","98";"Ⅱ","151";"Ⅲ","249";"Ⅳ","439";"Ⅴ","639";"Ⅵ","809"},2,0)</f>
        <v>639</v>
      </c>
      <c r="Y46" s="111"/>
      <c r="Z46" s="118">
        <v>2.5</v>
      </c>
      <c r="AA46" s="111"/>
      <c r="AB46" s="117" t="str">
        <f>VLOOKUP(O46,{"甲级","1.2";"乙级","1.0";"丙级","0.8"},2,0)</f>
        <v>1.2</v>
      </c>
      <c r="AC46" s="111"/>
      <c r="AD46" s="130">
        <f t="shared" si="3"/>
        <v>-639</v>
      </c>
      <c r="AE46" s="130">
        <f t="shared" si="4"/>
        <v>-2.5</v>
      </c>
      <c r="AF46" s="130">
        <f t="shared" si="5"/>
        <v>-1.2</v>
      </c>
      <c r="AG46" s="131"/>
      <c r="AH46" s="131"/>
      <c r="AI46" s="131"/>
      <c r="AJ46" s="131"/>
      <c r="AK46" s="131"/>
      <c r="AL46" s="131"/>
      <c r="AM46" s="131"/>
      <c r="AN46" s="131"/>
      <c r="AO46" s="131"/>
    </row>
    <row r="47" spans="1:41" s="47" customFormat="1" ht="12" x14ac:dyDescent="0.25">
      <c r="A47" s="14">
        <v>43</v>
      </c>
      <c r="B47" s="206"/>
      <c r="C47" s="219"/>
      <c r="D47" s="210"/>
      <c r="E47" s="89" t="s">
        <v>119</v>
      </c>
      <c r="F47" s="14" t="s">
        <v>114</v>
      </c>
      <c r="G47" s="17" t="s">
        <v>110</v>
      </c>
      <c r="H47" s="162"/>
      <c r="I47" s="17">
        <v>25</v>
      </c>
      <c r="J47" s="17"/>
      <c r="K47" s="17"/>
      <c r="L47" s="17"/>
      <c r="M47" s="163"/>
      <c r="N47" s="165">
        <f t="shared" si="15"/>
        <v>0</v>
      </c>
      <c r="O47" s="14" t="s">
        <v>103</v>
      </c>
      <c r="P47" s="38"/>
      <c r="Q47" s="165">
        <f t="shared" si="16"/>
        <v>0</v>
      </c>
      <c r="R47" s="165">
        <f t="shared" si="17"/>
        <v>0</v>
      </c>
      <c r="S47" s="17" t="s">
        <v>111</v>
      </c>
      <c r="T47" s="17"/>
      <c r="U47" s="114"/>
      <c r="W47" s="154"/>
      <c r="X47" s="116" t="str">
        <f>VLOOKUP(F47,{"Ⅰ","98";"Ⅱ","151";"Ⅲ","249";"Ⅳ","439";"Ⅴ","639";"Ⅵ","809"},2,0)</f>
        <v>809</v>
      </c>
      <c r="Y47" s="111"/>
      <c r="Z47" s="118">
        <v>2.5</v>
      </c>
      <c r="AA47" s="111"/>
      <c r="AB47" s="117" t="str">
        <f>VLOOKUP(O47,{"甲级","1.2";"乙级","1.0";"丙级","0.8"},2,0)</f>
        <v>1.2</v>
      </c>
      <c r="AC47" s="111"/>
      <c r="AD47" s="130">
        <f t="shared" si="3"/>
        <v>-809</v>
      </c>
      <c r="AE47" s="130">
        <f t="shared" si="4"/>
        <v>-2.5</v>
      </c>
      <c r="AF47" s="130">
        <f t="shared" si="5"/>
        <v>-1.2</v>
      </c>
      <c r="AG47" s="131"/>
      <c r="AH47" s="131"/>
      <c r="AI47" s="131"/>
      <c r="AJ47" s="131"/>
      <c r="AK47" s="131"/>
      <c r="AL47" s="131"/>
      <c r="AM47" s="131"/>
      <c r="AN47" s="131"/>
      <c r="AO47" s="131"/>
    </row>
    <row r="48" spans="1:41" s="47" customFormat="1" ht="12" x14ac:dyDescent="0.25">
      <c r="A48" s="14">
        <v>44</v>
      </c>
      <c r="B48" s="206"/>
      <c r="C48" s="219"/>
      <c r="D48" s="210"/>
      <c r="E48" s="89" t="s">
        <v>120</v>
      </c>
      <c r="F48" s="14" t="s">
        <v>114</v>
      </c>
      <c r="G48" s="17" t="s">
        <v>110</v>
      </c>
      <c r="H48" s="162"/>
      <c r="I48" s="17">
        <v>50</v>
      </c>
      <c r="J48" s="17"/>
      <c r="K48" s="17"/>
      <c r="L48" s="17"/>
      <c r="M48" s="163"/>
      <c r="N48" s="165">
        <f t="shared" ref="N48:N65" si="18">H48*I48*M48</f>
        <v>0</v>
      </c>
      <c r="O48" s="14" t="s">
        <v>103</v>
      </c>
      <c r="P48" s="38"/>
      <c r="Q48" s="165">
        <f t="shared" ref="Q48:Q65" si="19">N48*P48</f>
        <v>0</v>
      </c>
      <c r="R48" s="165">
        <f t="shared" si="17"/>
        <v>0</v>
      </c>
      <c r="S48" s="17" t="s">
        <v>111</v>
      </c>
      <c r="T48" s="17"/>
      <c r="U48" s="114"/>
      <c r="W48" s="154"/>
      <c r="X48" s="119" t="str">
        <f>VLOOKUP(F48,{"Ⅰ","109";"Ⅱ","168";"Ⅲ","277";"Ⅳ","489";"Ⅴ","711";"Ⅵ","901"},2,0)</f>
        <v>901</v>
      </c>
      <c r="Y48" s="111"/>
      <c r="Z48" s="118">
        <v>2.5</v>
      </c>
      <c r="AA48" s="111"/>
      <c r="AB48" s="117" t="str">
        <f>VLOOKUP(O48,{"甲级","1.2";"乙级","1.0";"丙级","0.8"},2,0)</f>
        <v>1.2</v>
      </c>
      <c r="AC48" s="111"/>
      <c r="AD48" s="130">
        <f t="shared" si="3"/>
        <v>-901</v>
      </c>
      <c r="AE48" s="130">
        <f t="shared" si="4"/>
        <v>-2.5</v>
      </c>
      <c r="AF48" s="130">
        <f t="shared" si="5"/>
        <v>-1.2</v>
      </c>
      <c r="AG48" s="131"/>
      <c r="AH48" s="131"/>
      <c r="AI48" s="131"/>
      <c r="AJ48" s="131"/>
      <c r="AK48" s="131"/>
      <c r="AL48" s="131"/>
      <c r="AM48" s="131"/>
      <c r="AN48" s="131"/>
      <c r="AO48" s="131"/>
    </row>
    <row r="49" spans="1:41" s="47" customFormat="1" ht="12" x14ac:dyDescent="0.25">
      <c r="A49" s="14">
        <v>45</v>
      </c>
      <c r="B49" s="206"/>
      <c r="C49" s="219"/>
      <c r="D49" s="210"/>
      <c r="E49" s="89" t="s">
        <v>121</v>
      </c>
      <c r="F49" s="14" t="s">
        <v>114</v>
      </c>
      <c r="G49" s="17" t="s">
        <v>110</v>
      </c>
      <c r="H49" s="162"/>
      <c r="I49" s="17">
        <v>35</v>
      </c>
      <c r="J49" s="17"/>
      <c r="K49" s="17"/>
      <c r="L49" s="17"/>
      <c r="M49" s="163"/>
      <c r="N49" s="165">
        <f t="shared" si="18"/>
        <v>0</v>
      </c>
      <c r="O49" s="14" t="s">
        <v>103</v>
      </c>
      <c r="P49" s="38"/>
      <c r="Q49" s="165">
        <f t="shared" si="19"/>
        <v>0</v>
      </c>
      <c r="R49" s="165">
        <f t="shared" si="17"/>
        <v>0</v>
      </c>
      <c r="S49" s="17" t="s">
        <v>111</v>
      </c>
      <c r="T49" s="17"/>
      <c r="U49" s="114"/>
      <c r="W49" s="154"/>
      <c r="X49" s="119" t="str">
        <f>VLOOKUP(F49,{"Ⅰ","121";"Ⅱ","187";"Ⅲ","307";"Ⅳ","542";"Ⅴ","789";"Ⅵ","1000"},2,0)</f>
        <v>1000</v>
      </c>
      <c r="Y49" s="111"/>
      <c r="Z49" s="118">
        <v>2.5</v>
      </c>
      <c r="AA49" s="111"/>
      <c r="AB49" s="117" t="str">
        <f>VLOOKUP(O49,{"甲级","1.2";"乙级","1.0";"丙级","0.8"},2,0)</f>
        <v>1.2</v>
      </c>
      <c r="AC49" s="111"/>
      <c r="AD49" s="130">
        <f t="shared" si="3"/>
        <v>-1000</v>
      </c>
      <c r="AE49" s="130">
        <f t="shared" si="4"/>
        <v>-2.5</v>
      </c>
      <c r="AF49" s="130">
        <f t="shared" si="5"/>
        <v>-1.2</v>
      </c>
      <c r="AG49" s="131"/>
      <c r="AH49" s="131"/>
      <c r="AI49" s="131"/>
      <c r="AJ49" s="131"/>
      <c r="AK49" s="131"/>
      <c r="AL49" s="131"/>
      <c r="AM49" s="131"/>
      <c r="AN49" s="131"/>
      <c r="AO49" s="131"/>
    </row>
    <row r="50" spans="1:41" s="47" customFormat="1" ht="12" x14ac:dyDescent="0.25">
      <c r="A50" s="14">
        <v>46</v>
      </c>
      <c r="B50" s="206"/>
      <c r="C50" s="219"/>
      <c r="D50" s="210"/>
      <c r="E50" s="89" t="s">
        <v>122</v>
      </c>
      <c r="F50" s="14" t="s">
        <v>390</v>
      </c>
      <c r="G50" s="17" t="s">
        <v>110</v>
      </c>
      <c r="H50" s="162"/>
      <c r="I50" s="17"/>
      <c r="J50" s="17"/>
      <c r="K50" s="17"/>
      <c r="L50" s="17"/>
      <c r="M50" s="163"/>
      <c r="N50" s="165">
        <f t="shared" si="18"/>
        <v>0</v>
      </c>
      <c r="O50" s="14" t="s">
        <v>103</v>
      </c>
      <c r="P50" s="38"/>
      <c r="Q50" s="165">
        <f t="shared" si="19"/>
        <v>0</v>
      </c>
      <c r="R50" s="165">
        <f t="shared" si="17"/>
        <v>0</v>
      </c>
      <c r="S50" s="17" t="s">
        <v>111</v>
      </c>
      <c r="T50" s="17"/>
      <c r="U50" s="103"/>
      <c r="W50" s="154"/>
      <c r="X50" s="119" t="str">
        <f>VLOOKUP(F50,{"Ⅰ","132";"Ⅱ","204";"Ⅲ","335";"Ⅳ","592";"Ⅴ","862";"Ⅵ","1092"},2,0)</f>
        <v>1092</v>
      </c>
      <c r="Y50" s="111"/>
      <c r="Z50" s="118">
        <v>2.5</v>
      </c>
      <c r="AA50" s="111"/>
      <c r="AB50" s="117" t="str">
        <f>VLOOKUP(O50,{"甲级","1.2";"乙级","1.0";"丙级","0.8"},2,0)</f>
        <v>1.2</v>
      </c>
      <c r="AC50" s="111"/>
      <c r="AD50" s="130">
        <f t="shared" si="3"/>
        <v>-1092</v>
      </c>
      <c r="AE50" s="130">
        <f t="shared" si="4"/>
        <v>-2.5</v>
      </c>
      <c r="AF50" s="130">
        <f t="shared" si="5"/>
        <v>-1.2</v>
      </c>
      <c r="AG50" s="131"/>
      <c r="AH50" s="131"/>
      <c r="AI50" s="131"/>
      <c r="AJ50" s="131"/>
      <c r="AK50" s="131"/>
      <c r="AL50" s="131"/>
      <c r="AM50" s="131"/>
      <c r="AN50" s="131"/>
      <c r="AO50" s="131"/>
    </row>
    <row r="51" spans="1:41" s="47" customFormat="1" ht="12" x14ac:dyDescent="0.25">
      <c r="A51" s="14">
        <v>47</v>
      </c>
      <c r="B51" s="206"/>
      <c r="C51" s="219"/>
      <c r="D51" s="210"/>
      <c r="E51" s="89" t="s">
        <v>123</v>
      </c>
      <c r="F51" s="14" t="str">
        <f>F50</f>
        <v>Ⅵ</v>
      </c>
      <c r="G51" s="17" t="s">
        <v>110</v>
      </c>
      <c r="H51" s="162"/>
      <c r="I51" s="17"/>
      <c r="J51" s="17"/>
      <c r="K51" s="17"/>
      <c r="L51" s="17"/>
      <c r="M51" s="163"/>
      <c r="N51" s="165">
        <f t="shared" si="18"/>
        <v>0</v>
      </c>
      <c r="O51" s="14" t="s">
        <v>103</v>
      </c>
      <c r="P51" s="38"/>
      <c r="Q51" s="165">
        <f t="shared" ref="Q51:Q60" si="20">N51*P51</f>
        <v>0</v>
      </c>
      <c r="R51" s="165">
        <f t="shared" ref="R51:R65" si="21">N51+Q51</f>
        <v>0</v>
      </c>
      <c r="S51" s="17" t="s">
        <v>111</v>
      </c>
      <c r="T51" s="17"/>
      <c r="U51" s="103"/>
      <c r="W51" s="154"/>
      <c r="X51" s="119">
        <f>H50*1.2</f>
        <v>0</v>
      </c>
      <c r="Y51" s="111"/>
      <c r="Z51" s="118">
        <v>2.5</v>
      </c>
      <c r="AA51" s="111"/>
      <c r="AB51" s="117" t="str">
        <f>VLOOKUP(O51,{"甲级","1.2";"乙级","1.0";"丙级","0.8"},2,0)</f>
        <v>1.2</v>
      </c>
      <c r="AC51" s="111"/>
      <c r="AD51" s="130">
        <f t="shared" si="3"/>
        <v>0</v>
      </c>
      <c r="AE51" s="130">
        <f t="shared" si="4"/>
        <v>-2.5</v>
      </c>
      <c r="AF51" s="130">
        <f t="shared" si="5"/>
        <v>-1.2</v>
      </c>
      <c r="AG51" s="131"/>
      <c r="AH51" s="131"/>
      <c r="AI51" s="131"/>
      <c r="AJ51" s="131"/>
      <c r="AK51" s="131"/>
      <c r="AL51" s="131"/>
      <c r="AM51" s="131"/>
      <c r="AN51" s="131"/>
      <c r="AO51" s="131"/>
    </row>
    <row r="52" spans="1:41" s="47" customFormat="1" ht="12" x14ac:dyDescent="0.25">
      <c r="A52" s="14">
        <v>48</v>
      </c>
      <c r="B52" s="206"/>
      <c r="C52" s="219"/>
      <c r="D52" s="210"/>
      <c r="E52" s="89" t="s">
        <v>124</v>
      </c>
      <c r="F52" s="14" t="str">
        <f>F50</f>
        <v>Ⅵ</v>
      </c>
      <c r="G52" s="17" t="s">
        <v>110</v>
      </c>
      <c r="H52" s="162"/>
      <c r="I52" s="17"/>
      <c r="J52" s="17"/>
      <c r="K52" s="17"/>
      <c r="L52" s="17"/>
      <c r="M52" s="163"/>
      <c r="N52" s="165">
        <f t="shared" si="18"/>
        <v>0</v>
      </c>
      <c r="O52" s="14" t="s">
        <v>103</v>
      </c>
      <c r="P52" s="38"/>
      <c r="Q52" s="165">
        <f t="shared" si="20"/>
        <v>0</v>
      </c>
      <c r="R52" s="165">
        <f t="shared" si="21"/>
        <v>0</v>
      </c>
      <c r="S52" s="17" t="s">
        <v>111</v>
      </c>
      <c r="T52" s="17"/>
      <c r="U52" s="103"/>
      <c r="W52" s="154"/>
      <c r="X52" s="119">
        <f>H51*1.2</f>
        <v>0</v>
      </c>
      <c r="Y52" s="111"/>
      <c r="Z52" s="118">
        <v>2.5</v>
      </c>
      <c r="AA52" s="111"/>
      <c r="AB52" s="117" t="str">
        <f>VLOOKUP(O52,{"甲级","1.2";"乙级","1.0";"丙级","0.8"},2,0)</f>
        <v>1.2</v>
      </c>
      <c r="AC52" s="111"/>
      <c r="AD52" s="130">
        <f t="shared" si="3"/>
        <v>0</v>
      </c>
      <c r="AE52" s="130">
        <f t="shared" si="4"/>
        <v>-2.5</v>
      </c>
      <c r="AF52" s="130">
        <f t="shared" si="5"/>
        <v>-1.2</v>
      </c>
      <c r="AG52" s="131"/>
      <c r="AH52" s="131"/>
      <c r="AI52" s="131"/>
      <c r="AJ52" s="131"/>
      <c r="AK52" s="131"/>
      <c r="AL52" s="131"/>
      <c r="AM52" s="131"/>
      <c r="AN52" s="131"/>
      <c r="AO52" s="131"/>
    </row>
    <row r="53" spans="1:41" s="47" customFormat="1" ht="14.4" x14ac:dyDescent="0.25">
      <c r="A53" s="14">
        <v>49</v>
      </c>
      <c r="B53" s="206"/>
      <c r="C53" s="219"/>
      <c r="D53" s="210"/>
      <c r="E53" s="89" t="s">
        <v>125</v>
      </c>
      <c r="F53" s="14" t="str">
        <f>F50</f>
        <v>Ⅵ</v>
      </c>
      <c r="G53" s="17" t="s">
        <v>110</v>
      </c>
      <c r="H53" s="162"/>
      <c r="I53" s="17"/>
      <c r="J53" s="17"/>
      <c r="K53" s="17"/>
      <c r="L53" s="17"/>
      <c r="M53" s="163"/>
      <c r="N53" s="165">
        <f t="shared" si="18"/>
        <v>0</v>
      </c>
      <c r="O53" s="14" t="s">
        <v>103</v>
      </c>
      <c r="P53" s="38"/>
      <c r="Q53" s="165">
        <f t="shared" si="20"/>
        <v>0</v>
      </c>
      <c r="R53" s="165">
        <f t="shared" si="21"/>
        <v>0</v>
      </c>
      <c r="S53" s="17" t="s">
        <v>111</v>
      </c>
      <c r="T53" s="17"/>
      <c r="U53" s="104"/>
      <c r="W53" s="154"/>
      <c r="X53" s="119">
        <f>H52*1.2</f>
        <v>0</v>
      </c>
      <c r="Y53" s="111"/>
      <c r="Z53" s="118">
        <v>2.5</v>
      </c>
      <c r="AA53" s="111"/>
      <c r="AB53" s="117" t="str">
        <f>VLOOKUP(O53,{"甲级","1.2";"乙级","1.0";"丙级","0.8"},2,0)</f>
        <v>1.2</v>
      </c>
      <c r="AC53" s="111"/>
      <c r="AD53" s="130">
        <f t="shared" si="3"/>
        <v>0</v>
      </c>
      <c r="AE53" s="130">
        <f t="shared" si="4"/>
        <v>-2.5</v>
      </c>
      <c r="AF53" s="130">
        <f t="shared" si="5"/>
        <v>-1.2</v>
      </c>
      <c r="AG53" s="131"/>
      <c r="AH53" s="131"/>
      <c r="AI53" s="131"/>
      <c r="AJ53" s="131"/>
      <c r="AK53" s="131"/>
      <c r="AL53" s="131"/>
      <c r="AM53" s="131"/>
      <c r="AN53" s="131"/>
      <c r="AO53" s="131"/>
    </row>
    <row r="54" spans="1:41" s="47" customFormat="1" ht="14.4" x14ac:dyDescent="0.25">
      <c r="A54" s="14">
        <v>50</v>
      </c>
      <c r="B54" s="206"/>
      <c r="C54" s="219"/>
      <c r="D54" s="210"/>
      <c r="E54" s="89" t="s">
        <v>126</v>
      </c>
      <c r="F54" s="14" t="str">
        <f>F50</f>
        <v>Ⅵ</v>
      </c>
      <c r="G54" s="17" t="s">
        <v>110</v>
      </c>
      <c r="H54" s="162"/>
      <c r="I54" s="17"/>
      <c r="J54" s="17"/>
      <c r="K54" s="17"/>
      <c r="L54" s="17"/>
      <c r="M54" s="163"/>
      <c r="N54" s="165">
        <f t="shared" si="18"/>
        <v>0</v>
      </c>
      <c r="O54" s="14" t="s">
        <v>103</v>
      </c>
      <c r="P54" s="38"/>
      <c r="Q54" s="165">
        <f t="shared" si="20"/>
        <v>0</v>
      </c>
      <c r="R54" s="165">
        <f t="shared" si="21"/>
        <v>0</v>
      </c>
      <c r="S54" s="17" t="s">
        <v>111</v>
      </c>
      <c r="T54" s="17"/>
      <c r="U54" s="104"/>
      <c r="W54" s="154"/>
      <c r="X54" s="119">
        <f>H53*1.2</f>
        <v>0</v>
      </c>
      <c r="Y54" s="111"/>
      <c r="Z54" s="118">
        <v>2.5</v>
      </c>
      <c r="AA54" s="111"/>
      <c r="AB54" s="117" t="str">
        <f>VLOOKUP(O54,{"甲级","1.2";"乙级","1.0";"丙级","0.8"},2,0)</f>
        <v>1.2</v>
      </c>
      <c r="AC54" s="111"/>
      <c r="AD54" s="130">
        <f t="shared" si="3"/>
        <v>0</v>
      </c>
      <c r="AE54" s="130">
        <f t="shared" si="4"/>
        <v>-2.5</v>
      </c>
      <c r="AF54" s="130">
        <f t="shared" si="5"/>
        <v>-1.2</v>
      </c>
      <c r="AG54" s="131"/>
      <c r="AH54" s="131"/>
      <c r="AI54" s="131"/>
      <c r="AJ54" s="131"/>
      <c r="AK54" s="131"/>
      <c r="AL54" s="131"/>
      <c r="AM54" s="131"/>
      <c r="AN54" s="131"/>
      <c r="AO54" s="131"/>
    </row>
    <row r="55" spans="1:41" s="47" customFormat="1" ht="14.4" x14ac:dyDescent="0.25">
      <c r="A55" s="14">
        <v>51</v>
      </c>
      <c r="B55" s="206"/>
      <c r="C55" s="219"/>
      <c r="D55" s="210"/>
      <c r="E55" s="89" t="s">
        <v>127</v>
      </c>
      <c r="F55" s="14" t="str">
        <f>F50</f>
        <v>Ⅵ</v>
      </c>
      <c r="G55" s="17" t="s">
        <v>110</v>
      </c>
      <c r="H55" s="162"/>
      <c r="I55" s="17"/>
      <c r="J55" s="17"/>
      <c r="K55" s="17"/>
      <c r="L55" s="17"/>
      <c r="M55" s="163"/>
      <c r="N55" s="165">
        <f t="shared" si="18"/>
        <v>0</v>
      </c>
      <c r="O55" s="14" t="s">
        <v>103</v>
      </c>
      <c r="P55" s="38"/>
      <c r="Q55" s="165">
        <f t="shared" si="20"/>
        <v>0</v>
      </c>
      <c r="R55" s="165">
        <f t="shared" si="21"/>
        <v>0</v>
      </c>
      <c r="S55" s="17" t="s">
        <v>111</v>
      </c>
      <c r="T55" s="17"/>
      <c r="U55" s="104"/>
      <c r="W55" s="154"/>
      <c r="X55" s="119">
        <f>H54*1.2</f>
        <v>0</v>
      </c>
      <c r="Y55" s="111"/>
      <c r="Z55" s="118">
        <v>2.5</v>
      </c>
      <c r="AA55" s="111"/>
      <c r="AB55" s="117" t="str">
        <f>VLOOKUP(O55,{"甲级","1.2";"乙级","1.0";"丙级","0.8"},2,0)</f>
        <v>1.2</v>
      </c>
      <c r="AC55" s="111"/>
      <c r="AD55" s="130">
        <f t="shared" si="3"/>
        <v>0</v>
      </c>
      <c r="AE55" s="130">
        <f t="shared" si="4"/>
        <v>-2.5</v>
      </c>
      <c r="AF55" s="130">
        <f t="shared" si="5"/>
        <v>-1.2</v>
      </c>
      <c r="AG55" s="131"/>
      <c r="AH55" s="131"/>
      <c r="AI55" s="131"/>
      <c r="AJ55" s="131"/>
      <c r="AK55" s="131"/>
      <c r="AL55" s="131"/>
      <c r="AM55" s="131"/>
      <c r="AN55" s="131"/>
      <c r="AO55" s="131"/>
    </row>
    <row r="56" spans="1:41" s="47" customFormat="1" ht="14.4" x14ac:dyDescent="0.25">
      <c r="A56" s="14">
        <v>52</v>
      </c>
      <c r="B56" s="206"/>
      <c r="C56" s="210" t="s">
        <v>143</v>
      </c>
      <c r="D56" s="210"/>
      <c r="E56" s="89" t="s">
        <v>144</v>
      </c>
      <c r="F56" s="14" t="s">
        <v>32</v>
      </c>
      <c r="G56" s="17" t="s">
        <v>110</v>
      </c>
      <c r="H56" s="162"/>
      <c r="I56" s="17"/>
      <c r="J56" s="17"/>
      <c r="K56" s="17"/>
      <c r="L56" s="17"/>
      <c r="M56" s="163"/>
      <c r="N56" s="165">
        <f t="shared" si="18"/>
        <v>0</v>
      </c>
      <c r="O56" s="14" t="s">
        <v>103</v>
      </c>
      <c r="P56" s="38"/>
      <c r="Q56" s="165">
        <f t="shared" si="20"/>
        <v>0</v>
      </c>
      <c r="R56" s="165">
        <f t="shared" si="21"/>
        <v>0</v>
      </c>
      <c r="S56" s="17" t="s">
        <v>111</v>
      </c>
      <c r="T56" s="17"/>
      <c r="U56" s="104"/>
      <c r="W56" s="154"/>
      <c r="X56" s="119" t="str">
        <f>VLOOKUP(F56,{"Ⅰ","50";"Ⅱ","63";"Ⅲ","78";"Ⅳ","125";"Ⅴ","200";"Ⅵ","250"},2,0)</f>
        <v>63</v>
      </c>
      <c r="Y56" s="111"/>
      <c r="Z56" s="118">
        <v>1.3</v>
      </c>
      <c r="AA56" s="111"/>
      <c r="AB56" s="117" t="str">
        <f>VLOOKUP(O56,{"甲级","1.2";"乙级","1.0";"丙级","0.8"},2,0)</f>
        <v>1.2</v>
      </c>
      <c r="AC56" s="111"/>
      <c r="AD56" s="130">
        <f t="shared" si="3"/>
        <v>-63</v>
      </c>
      <c r="AE56" s="130">
        <f t="shared" si="4"/>
        <v>-1.3</v>
      </c>
      <c r="AF56" s="130">
        <f t="shared" si="5"/>
        <v>-1.2</v>
      </c>
      <c r="AG56" s="131"/>
      <c r="AH56" s="131"/>
      <c r="AI56" s="131"/>
      <c r="AJ56" s="131"/>
      <c r="AK56" s="131"/>
      <c r="AL56" s="131"/>
      <c r="AM56" s="131"/>
      <c r="AN56" s="131"/>
      <c r="AO56" s="131"/>
    </row>
    <row r="57" spans="1:41" s="47" customFormat="1" ht="14.4" x14ac:dyDescent="0.25">
      <c r="A57" s="14">
        <v>53</v>
      </c>
      <c r="B57" s="206"/>
      <c r="C57" s="210"/>
      <c r="D57" s="210"/>
      <c r="E57" s="89" t="s">
        <v>145</v>
      </c>
      <c r="F57" s="14" t="s">
        <v>36</v>
      </c>
      <c r="G57" s="17" t="s">
        <v>110</v>
      </c>
      <c r="H57" s="162"/>
      <c r="I57" s="17"/>
      <c r="J57" s="17"/>
      <c r="K57" s="17"/>
      <c r="L57" s="17"/>
      <c r="M57" s="163"/>
      <c r="N57" s="165">
        <f t="shared" si="18"/>
        <v>0</v>
      </c>
      <c r="O57" s="14" t="s">
        <v>103</v>
      </c>
      <c r="P57" s="38"/>
      <c r="Q57" s="165">
        <f t="shared" si="20"/>
        <v>0</v>
      </c>
      <c r="R57" s="165">
        <f t="shared" si="21"/>
        <v>0</v>
      </c>
      <c r="S57" s="17" t="s">
        <v>111</v>
      </c>
      <c r="T57" s="17"/>
      <c r="U57" s="104"/>
      <c r="W57" s="154"/>
      <c r="X57" s="119" t="str">
        <f>VLOOKUP(F57,{"Ⅰ","63";"Ⅱ","78";"Ⅲ","97";"Ⅳ","156";"Ⅴ","250";"Ⅵ","313"},2,0)</f>
        <v>97</v>
      </c>
      <c r="Y57" s="111"/>
      <c r="Z57" s="118">
        <v>1.3</v>
      </c>
      <c r="AA57" s="111"/>
      <c r="AB57" s="117" t="str">
        <f>VLOOKUP(O57,{"甲级","1.2";"乙级","1.0";"丙级","0.8"},2,0)</f>
        <v>1.2</v>
      </c>
      <c r="AC57" s="111"/>
      <c r="AD57" s="130">
        <f t="shared" si="3"/>
        <v>-97</v>
      </c>
      <c r="AE57" s="130">
        <f t="shared" si="4"/>
        <v>-1.3</v>
      </c>
      <c r="AF57" s="130">
        <f t="shared" si="5"/>
        <v>-1.2</v>
      </c>
      <c r="AG57" s="131"/>
      <c r="AH57" s="131"/>
      <c r="AI57" s="131"/>
      <c r="AJ57" s="131"/>
      <c r="AK57" s="131"/>
      <c r="AL57" s="131"/>
      <c r="AM57" s="131"/>
      <c r="AN57" s="131"/>
      <c r="AO57" s="131"/>
    </row>
    <row r="58" spans="1:41" s="47" customFormat="1" ht="14.4" x14ac:dyDescent="0.25">
      <c r="A58" s="14">
        <v>54</v>
      </c>
      <c r="B58" s="206"/>
      <c r="C58" s="210"/>
      <c r="D58" s="210"/>
      <c r="E58" s="89" t="s">
        <v>146</v>
      </c>
      <c r="F58" s="14" t="s">
        <v>147</v>
      </c>
      <c r="G58" s="17" t="s">
        <v>110</v>
      </c>
      <c r="H58" s="162"/>
      <c r="I58" s="17"/>
      <c r="J58" s="17"/>
      <c r="K58" s="17"/>
      <c r="L58" s="17"/>
      <c r="M58" s="163"/>
      <c r="N58" s="165">
        <f t="shared" si="18"/>
        <v>0</v>
      </c>
      <c r="O58" s="14" t="s">
        <v>103</v>
      </c>
      <c r="P58" s="38"/>
      <c r="Q58" s="165">
        <f t="shared" si="20"/>
        <v>0</v>
      </c>
      <c r="R58" s="165">
        <f t="shared" si="21"/>
        <v>0</v>
      </c>
      <c r="S58" s="17" t="s">
        <v>111</v>
      </c>
      <c r="T58" s="17"/>
      <c r="U58" s="104"/>
      <c r="W58" s="154"/>
      <c r="X58" s="119" t="str">
        <f>VLOOKUP(F58,{"Ⅰ","78";"Ⅱ","97";"Ⅲ","120";"Ⅳ","194";"Ⅴ","310";"Ⅵ","388"},2,0)</f>
        <v>78</v>
      </c>
      <c r="Y58" s="111"/>
      <c r="Z58" s="118">
        <v>1.3</v>
      </c>
      <c r="AA58" s="111"/>
      <c r="AB58" s="117" t="str">
        <f>VLOOKUP(O58,{"甲级","1.2";"乙级","1.0";"丙级","0.8"},2,0)</f>
        <v>1.2</v>
      </c>
      <c r="AC58" s="111"/>
      <c r="AD58" s="130">
        <f t="shared" si="3"/>
        <v>-78</v>
      </c>
      <c r="AE58" s="130">
        <f t="shared" si="4"/>
        <v>-1.3</v>
      </c>
      <c r="AF58" s="130">
        <f t="shared" si="5"/>
        <v>-1.2</v>
      </c>
      <c r="AG58" s="131"/>
      <c r="AH58" s="131"/>
      <c r="AI58" s="131"/>
      <c r="AJ58" s="131"/>
      <c r="AK58" s="131"/>
      <c r="AL58" s="131"/>
      <c r="AM58" s="131"/>
      <c r="AN58" s="131"/>
      <c r="AO58" s="131"/>
    </row>
    <row r="59" spans="1:41" s="47" customFormat="1" ht="14.4" x14ac:dyDescent="0.25">
      <c r="A59" s="14">
        <v>55</v>
      </c>
      <c r="B59" s="206"/>
      <c r="C59" s="210"/>
      <c r="D59" s="210"/>
      <c r="E59" s="89" t="s">
        <v>115</v>
      </c>
      <c r="F59" s="14" t="s">
        <v>147</v>
      </c>
      <c r="G59" s="17" t="s">
        <v>110</v>
      </c>
      <c r="H59" s="162"/>
      <c r="I59" s="17"/>
      <c r="J59" s="17"/>
      <c r="K59" s="17"/>
      <c r="L59" s="17"/>
      <c r="M59" s="163"/>
      <c r="N59" s="165">
        <f t="shared" si="18"/>
        <v>0</v>
      </c>
      <c r="O59" s="14" t="s">
        <v>103</v>
      </c>
      <c r="P59" s="38"/>
      <c r="Q59" s="165">
        <f t="shared" si="20"/>
        <v>0</v>
      </c>
      <c r="R59" s="165">
        <f t="shared" si="21"/>
        <v>0</v>
      </c>
      <c r="S59" s="17" t="s">
        <v>111</v>
      </c>
      <c r="T59" s="17"/>
      <c r="U59" s="104"/>
      <c r="W59" s="154"/>
      <c r="X59" s="119" t="str">
        <f>VLOOKUP(F59,{"Ⅰ","103";"Ⅱ","128";"Ⅲ","159";"Ⅳ","256";"Ⅴ","410";"Ⅵ","513"},2,0)</f>
        <v>103</v>
      </c>
      <c r="Y59" s="111"/>
      <c r="Z59" s="118">
        <v>1.3</v>
      </c>
      <c r="AA59" s="111"/>
      <c r="AB59" s="117" t="str">
        <f>VLOOKUP(O59,{"甲级","1.2";"乙级","1.0";"丙级","0.8"},2,0)</f>
        <v>1.2</v>
      </c>
      <c r="AC59" s="111"/>
      <c r="AD59" s="130">
        <f t="shared" si="3"/>
        <v>-103</v>
      </c>
      <c r="AE59" s="130">
        <f t="shared" si="4"/>
        <v>-1.3</v>
      </c>
      <c r="AF59" s="130">
        <f t="shared" si="5"/>
        <v>-1.2</v>
      </c>
      <c r="AG59" s="131"/>
      <c r="AH59" s="131"/>
      <c r="AI59" s="131"/>
      <c r="AJ59" s="131"/>
      <c r="AK59" s="131"/>
      <c r="AL59" s="131"/>
      <c r="AM59" s="131"/>
      <c r="AN59" s="131"/>
      <c r="AO59" s="131"/>
    </row>
    <row r="60" spans="1:41" s="47" customFormat="1" ht="14.4" x14ac:dyDescent="0.25">
      <c r="A60" s="14">
        <v>56</v>
      </c>
      <c r="B60" s="206"/>
      <c r="C60" s="210" t="s">
        <v>148</v>
      </c>
      <c r="D60" s="210"/>
      <c r="E60" s="89" t="s">
        <v>381</v>
      </c>
      <c r="F60" s="14" t="s">
        <v>36</v>
      </c>
      <c r="G60" s="17" t="s">
        <v>395</v>
      </c>
      <c r="H60" s="162"/>
      <c r="I60" s="17">
        <v>18.02167</v>
      </c>
      <c r="J60" s="17"/>
      <c r="K60" s="17"/>
      <c r="L60" s="17"/>
      <c r="M60" s="163"/>
      <c r="N60" s="165">
        <f t="shared" si="18"/>
        <v>0</v>
      </c>
      <c r="O60" s="14" t="s">
        <v>103</v>
      </c>
      <c r="P60" s="38"/>
      <c r="Q60" s="165">
        <f t="shared" si="20"/>
        <v>0</v>
      </c>
      <c r="R60" s="165">
        <f t="shared" si="21"/>
        <v>0</v>
      </c>
      <c r="S60" s="17" t="s">
        <v>111</v>
      </c>
      <c r="T60" s="17"/>
      <c r="U60" s="104"/>
      <c r="W60" s="154"/>
      <c r="X60" s="119" t="str">
        <f>VLOOKUP(F60,{"Ⅰ","40";"Ⅱ","52";"Ⅲ","72";"Ⅳ","92";"Ⅴ","120";"Ⅵ","148"},2,0)</f>
        <v>72</v>
      </c>
      <c r="Y60" s="111"/>
      <c r="Z60" s="118">
        <v>1</v>
      </c>
      <c r="AA60" s="111"/>
      <c r="AB60" s="117" t="str">
        <f>VLOOKUP(O60,{"甲级","1.2";"乙级","1.0";"丙级","0.8"},2,0)</f>
        <v>1.2</v>
      </c>
      <c r="AC60" s="111"/>
      <c r="AD60" s="130">
        <f t="shared" si="3"/>
        <v>-72</v>
      </c>
      <c r="AE60" s="130">
        <f t="shared" si="4"/>
        <v>-1</v>
      </c>
      <c r="AF60" s="130">
        <f t="shared" si="5"/>
        <v>-1.2</v>
      </c>
      <c r="AG60" s="131"/>
      <c r="AH60" s="131"/>
      <c r="AI60" s="131"/>
      <c r="AJ60" s="131"/>
      <c r="AK60" s="131"/>
      <c r="AL60" s="131"/>
      <c r="AM60" s="131"/>
      <c r="AN60" s="131"/>
      <c r="AO60" s="131"/>
    </row>
    <row r="61" spans="1:41" s="47" customFormat="1" ht="14.4" x14ac:dyDescent="0.25">
      <c r="A61" s="14">
        <v>57</v>
      </c>
      <c r="B61" s="206"/>
      <c r="C61" s="210"/>
      <c r="D61" s="210"/>
      <c r="E61" s="89" t="s">
        <v>382</v>
      </c>
      <c r="F61" s="14" t="s">
        <v>147</v>
      </c>
      <c r="G61" s="17" t="s">
        <v>395</v>
      </c>
      <c r="H61" s="162"/>
      <c r="I61" s="17"/>
      <c r="J61" s="17"/>
      <c r="K61" s="17"/>
      <c r="L61" s="17"/>
      <c r="M61" s="163"/>
      <c r="N61" s="165">
        <f t="shared" si="18"/>
        <v>0</v>
      </c>
      <c r="O61" s="14" t="s">
        <v>103</v>
      </c>
      <c r="P61" s="38"/>
      <c r="Q61" s="165">
        <f t="shared" si="19"/>
        <v>0</v>
      </c>
      <c r="R61" s="165">
        <f t="shared" si="21"/>
        <v>0</v>
      </c>
      <c r="S61" s="17" t="s">
        <v>111</v>
      </c>
      <c r="T61" s="17"/>
      <c r="U61" s="104"/>
      <c r="W61" s="154"/>
      <c r="X61" s="119" t="str">
        <f>VLOOKUP(F61,{"Ⅰ","58";"Ⅱ","75";"Ⅲ","104";"Ⅳ","133";"Ⅴ","174";"Ⅵ","215"},2,0)</f>
        <v>58</v>
      </c>
      <c r="Y61" s="111"/>
      <c r="Z61" s="118">
        <v>1.3</v>
      </c>
      <c r="AA61" s="111"/>
      <c r="AB61" s="117" t="str">
        <f>VLOOKUP(O61,{"甲级","1.2";"乙级","1.0";"丙级","0.8"},2,0)</f>
        <v>1.2</v>
      </c>
      <c r="AC61" s="111"/>
      <c r="AD61" s="130">
        <f t="shared" si="3"/>
        <v>-58</v>
      </c>
      <c r="AE61" s="130">
        <f t="shared" si="4"/>
        <v>-1.3</v>
      </c>
      <c r="AF61" s="130">
        <f t="shared" si="5"/>
        <v>-1.2</v>
      </c>
      <c r="AG61" s="131"/>
      <c r="AH61" s="131"/>
      <c r="AI61" s="131"/>
      <c r="AJ61" s="131"/>
      <c r="AK61" s="131"/>
      <c r="AL61" s="131"/>
      <c r="AM61" s="131"/>
      <c r="AN61" s="131"/>
      <c r="AO61" s="131"/>
    </row>
    <row r="62" spans="1:41" s="47" customFormat="1" ht="14.4" x14ac:dyDescent="0.25">
      <c r="A62" s="14">
        <v>58</v>
      </c>
      <c r="B62" s="206"/>
      <c r="C62" s="208" t="s">
        <v>149</v>
      </c>
      <c r="D62" s="208"/>
      <c r="E62" s="14" t="s">
        <v>150</v>
      </c>
      <c r="F62" s="14" t="s">
        <v>151</v>
      </c>
      <c r="G62" s="17" t="s">
        <v>152</v>
      </c>
      <c r="H62" s="162"/>
      <c r="I62" s="17">
        <v>48</v>
      </c>
      <c r="J62" s="17"/>
      <c r="K62" s="17"/>
      <c r="L62" s="17"/>
      <c r="M62" s="163"/>
      <c r="N62" s="165">
        <f t="shared" si="18"/>
        <v>0</v>
      </c>
      <c r="O62" s="14" t="s">
        <v>103</v>
      </c>
      <c r="P62" s="38"/>
      <c r="Q62" s="165">
        <f t="shared" si="19"/>
        <v>0</v>
      </c>
      <c r="R62" s="165">
        <f t="shared" si="21"/>
        <v>0</v>
      </c>
      <c r="S62" s="17" t="s">
        <v>153</v>
      </c>
      <c r="T62" s="17"/>
      <c r="U62" s="104"/>
      <c r="W62" s="154"/>
      <c r="X62" s="119">
        <f>IF(F62="≤30m",65,95)</f>
        <v>65</v>
      </c>
      <c r="Y62" s="111"/>
      <c r="Z62" s="118">
        <v>1</v>
      </c>
      <c r="AA62" s="111"/>
      <c r="AB62" s="117" t="str">
        <f>VLOOKUP(O62,{"甲级","1.2";"乙级","1.0";"丙级","0.8"},2,0)</f>
        <v>1.2</v>
      </c>
      <c r="AC62" s="111"/>
      <c r="AD62" s="130">
        <f t="shared" si="3"/>
        <v>-65</v>
      </c>
      <c r="AE62" s="130">
        <f t="shared" si="4"/>
        <v>-1</v>
      </c>
      <c r="AF62" s="130">
        <f t="shared" si="5"/>
        <v>-1.2</v>
      </c>
      <c r="AG62" s="131"/>
      <c r="AH62" s="131"/>
      <c r="AI62" s="131"/>
      <c r="AJ62" s="131"/>
      <c r="AK62" s="131"/>
      <c r="AL62" s="131"/>
      <c r="AM62" s="131"/>
      <c r="AN62" s="131"/>
      <c r="AO62" s="131"/>
    </row>
    <row r="63" spans="1:41" s="47" customFormat="1" ht="14.4" x14ac:dyDescent="0.25">
      <c r="A63" s="14">
        <v>59</v>
      </c>
      <c r="B63" s="206"/>
      <c r="C63" s="208"/>
      <c r="D63" s="208"/>
      <c r="E63" s="14" t="s">
        <v>154</v>
      </c>
      <c r="F63" s="14" t="s">
        <v>151</v>
      </c>
      <c r="G63" s="17" t="s">
        <v>152</v>
      </c>
      <c r="H63" s="162"/>
      <c r="I63" s="17">
        <v>18</v>
      </c>
      <c r="J63" s="17"/>
      <c r="K63" s="17"/>
      <c r="L63" s="17"/>
      <c r="M63" s="163"/>
      <c r="N63" s="165">
        <f t="shared" si="18"/>
        <v>0</v>
      </c>
      <c r="O63" s="14" t="s">
        <v>103</v>
      </c>
      <c r="P63" s="38"/>
      <c r="Q63" s="165">
        <f t="shared" si="19"/>
        <v>0</v>
      </c>
      <c r="R63" s="165">
        <f t="shared" si="21"/>
        <v>0</v>
      </c>
      <c r="S63" s="17" t="s">
        <v>153</v>
      </c>
      <c r="T63" s="17"/>
      <c r="U63" s="104"/>
      <c r="W63" s="154"/>
      <c r="X63" s="119">
        <f>IF(F63="≤30m",100,150)</f>
        <v>100</v>
      </c>
      <c r="Y63" s="111"/>
      <c r="Z63" s="118">
        <v>1</v>
      </c>
      <c r="AA63" s="111"/>
      <c r="AB63" s="117" t="str">
        <f>VLOOKUP(O63,{"甲级","1.2";"乙级","1.0";"丙级","0.8"},2,0)</f>
        <v>1.2</v>
      </c>
      <c r="AC63" s="111"/>
      <c r="AD63" s="130">
        <f t="shared" si="3"/>
        <v>-100</v>
      </c>
      <c r="AE63" s="130">
        <f t="shared" si="4"/>
        <v>-1</v>
      </c>
      <c r="AF63" s="130">
        <f t="shared" si="5"/>
        <v>-1.2</v>
      </c>
      <c r="AG63" s="131"/>
      <c r="AH63" s="131"/>
      <c r="AI63" s="131"/>
      <c r="AJ63" s="131"/>
      <c r="AK63" s="131"/>
      <c r="AL63" s="131"/>
      <c r="AM63" s="131"/>
      <c r="AN63" s="131"/>
      <c r="AO63" s="131"/>
    </row>
    <row r="64" spans="1:41" s="47" customFormat="1" ht="14.4" x14ac:dyDescent="0.25">
      <c r="A64" s="14">
        <v>60</v>
      </c>
      <c r="B64" s="206"/>
      <c r="C64" s="208"/>
      <c r="D64" s="208"/>
      <c r="E64" s="14" t="s">
        <v>155</v>
      </c>
      <c r="F64" s="14"/>
      <c r="G64" s="17" t="s">
        <v>152</v>
      </c>
      <c r="H64" s="162"/>
      <c r="I64" s="17">
        <v>40</v>
      </c>
      <c r="J64" s="17"/>
      <c r="K64" s="17"/>
      <c r="L64" s="17"/>
      <c r="M64" s="163"/>
      <c r="N64" s="165">
        <f t="shared" si="18"/>
        <v>0</v>
      </c>
      <c r="O64" s="14" t="s">
        <v>103</v>
      </c>
      <c r="P64" s="38"/>
      <c r="Q64" s="165">
        <f t="shared" si="19"/>
        <v>0</v>
      </c>
      <c r="R64" s="165">
        <f t="shared" si="21"/>
        <v>0</v>
      </c>
      <c r="S64" s="17" t="s">
        <v>153</v>
      </c>
      <c r="T64" s="17"/>
      <c r="U64" s="104"/>
      <c r="W64" s="154"/>
      <c r="X64" s="119">
        <v>15</v>
      </c>
      <c r="Y64" s="111"/>
      <c r="Z64" s="118">
        <v>1</v>
      </c>
      <c r="AA64" s="111"/>
      <c r="AB64" s="117" t="str">
        <f>VLOOKUP(O64,{"甲级","1.2";"乙级","1.0";"丙级","0.8"},2,0)</f>
        <v>1.2</v>
      </c>
      <c r="AC64" s="111"/>
      <c r="AD64" s="130">
        <f t="shared" si="3"/>
        <v>-15</v>
      </c>
      <c r="AE64" s="130">
        <f t="shared" si="4"/>
        <v>-1</v>
      </c>
      <c r="AF64" s="130">
        <f t="shared" si="5"/>
        <v>-1.2</v>
      </c>
      <c r="AG64" s="131"/>
      <c r="AH64" s="131"/>
      <c r="AI64" s="131"/>
      <c r="AJ64" s="131"/>
      <c r="AK64" s="131"/>
      <c r="AL64" s="131"/>
      <c r="AM64" s="131"/>
      <c r="AN64" s="131"/>
      <c r="AO64" s="131"/>
    </row>
    <row r="65" spans="1:41" s="47" customFormat="1" ht="14.4" x14ac:dyDescent="0.25">
      <c r="A65" s="14">
        <v>61</v>
      </c>
      <c r="B65" s="206"/>
      <c r="C65" s="208"/>
      <c r="D65" s="208"/>
      <c r="E65" s="14" t="s">
        <v>156</v>
      </c>
      <c r="F65" s="14"/>
      <c r="G65" s="17" t="s">
        <v>152</v>
      </c>
      <c r="H65" s="162"/>
      <c r="I65" s="17">
        <v>202</v>
      </c>
      <c r="J65" s="17"/>
      <c r="K65" s="17"/>
      <c r="L65" s="17"/>
      <c r="M65" s="163"/>
      <c r="N65" s="165">
        <f t="shared" si="18"/>
        <v>0</v>
      </c>
      <c r="O65" s="14" t="s">
        <v>103</v>
      </c>
      <c r="P65" s="38"/>
      <c r="Q65" s="165">
        <f t="shared" si="19"/>
        <v>0</v>
      </c>
      <c r="R65" s="165">
        <f t="shared" si="21"/>
        <v>0</v>
      </c>
      <c r="S65" s="17" t="s">
        <v>153</v>
      </c>
      <c r="T65" s="17"/>
      <c r="U65" s="104"/>
      <c r="W65" s="154"/>
      <c r="X65" s="119">
        <v>25</v>
      </c>
      <c r="Y65" s="111"/>
      <c r="Z65" s="118">
        <v>1</v>
      </c>
      <c r="AA65" s="111"/>
      <c r="AB65" s="117" t="str">
        <f>VLOOKUP(O65,{"甲级","1.2";"乙级","1.0";"丙级","0.8"},2,0)</f>
        <v>1.2</v>
      </c>
      <c r="AC65" s="111"/>
      <c r="AD65" s="130">
        <f t="shared" si="3"/>
        <v>-25</v>
      </c>
      <c r="AE65" s="130">
        <f t="shared" si="4"/>
        <v>-1</v>
      </c>
      <c r="AF65" s="130">
        <f t="shared" si="5"/>
        <v>-1.2</v>
      </c>
      <c r="AG65" s="131"/>
      <c r="AH65" s="131"/>
      <c r="AI65" s="131"/>
      <c r="AJ65" s="131"/>
      <c r="AK65" s="131"/>
      <c r="AL65" s="131"/>
      <c r="AM65" s="131"/>
      <c r="AN65" s="131"/>
      <c r="AO65" s="131"/>
    </row>
    <row r="66" spans="1:41" s="47" customFormat="1" ht="14.4" x14ac:dyDescent="0.25">
      <c r="A66" s="14">
        <v>62</v>
      </c>
      <c r="B66" s="206"/>
      <c r="C66" s="208"/>
      <c r="D66" s="208"/>
      <c r="E66" s="14" t="s">
        <v>157</v>
      </c>
      <c r="F66" s="14"/>
      <c r="G66" s="17" t="s">
        <v>152</v>
      </c>
      <c r="H66" s="162"/>
      <c r="I66" s="17">
        <v>7</v>
      </c>
      <c r="J66" s="17"/>
      <c r="K66" s="17"/>
      <c r="L66" s="17"/>
      <c r="M66" s="163"/>
      <c r="N66" s="165">
        <f t="shared" ref="N66:N73" si="22">H66*I66*M66</f>
        <v>0</v>
      </c>
      <c r="O66" s="14" t="s">
        <v>103</v>
      </c>
      <c r="P66" s="38"/>
      <c r="Q66" s="165">
        <f t="shared" ref="Q66:Q73" si="23">N66*P66</f>
        <v>0</v>
      </c>
      <c r="R66" s="165">
        <f t="shared" ref="R66:R73" si="24">N66+Q66</f>
        <v>0</v>
      </c>
      <c r="S66" s="17" t="s">
        <v>153</v>
      </c>
      <c r="T66" s="17"/>
      <c r="U66" s="104"/>
      <c r="W66" s="154"/>
      <c r="X66" s="119">
        <v>40</v>
      </c>
      <c r="Y66" s="111"/>
      <c r="Z66" s="118">
        <v>1</v>
      </c>
      <c r="AA66" s="111"/>
      <c r="AB66" s="117" t="str">
        <f>VLOOKUP(O66,{"甲级","1.2";"乙级","1.0";"丙级","0.8"},2,0)</f>
        <v>1.2</v>
      </c>
      <c r="AC66" s="111"/>
      <c r="AD66" s="130">
        <f t="shared" si="3"/>
        <v>-40</v>
      </c>
      <c r="AE66" s="130">
        <f t="shared" si="4"/>
        <v>-1</v>
      </c>
      <c r="AF66" s="130">
        <f t="shared" si="5"/>
        <v>-1.2</v>
      </c>
      <c r="AG66" s="131"/>
      <c r="AH66" s="131"/>
      <c r="AI66" s="131"/>
      <c r="AJ66" s="131"/>
      <c r="AK66" s="131"/>
      <c r="AL66" s="131"/>
      <c r="AM66" s="131"/>
      <c r="AN66" s="131"/>
      <c r="AO66" s="131"/>
    </row>
    <row r="67" spans="1:41" s="47" customFormat="1" ht="14.4" x14ac:dyDescent="0.25">
      <c r="A67" s="14">
        <v>63</v>
      </c>
      <c r="B67" s="206"/>
      <c r="C67" s="208" t="s">
        <v>520</v>
      </c>
      <c r="D67" s="208"/>
      <c r="E67" s="89" t="s">
        <v>158</v>
      </c>
      <c r="F67" s="14" t="s">
        <v>36</v>
      </c>
      <c r="G67" s="17" t="s">
        <v>159</v>
      </c>
      <c r="H67" s="162"/>
      <c r="I67" s="17">
        <v>48</v>
      </c>
      <c r="J67" s="17"/>
      <c r="K67" s="17"/>
      <c r="L67" s="17"/>
      <c r="M67" s="163"/>
      <c r="N67" s="165">
        <f t="shared" si="22"/>
        <v>0</v>
      </c>
      <c r="O67" s="14" t="s">
        <v>103</v>
      </c>
      <c r="P67" s="38"/>
      <c r="Q67" s="165">
        <f t="shared" si="23"/>
        <v>0</v>
      </c>
      <c r="R67" s="165">
        <f t="shared" si="24"/>
        <v>0</v>
      </c>
      <c r="S67" s="17" t="s">
        <v>160</v>
      </c>
      <c r="T67" s="17"/>
      <c r="U67" s="104"/>
      <c r="W67" s="154"/>
      <c r="X67" s="119" t="str">
        <f>VLOOKUP(F67,{"Ⅰ","80";"Ⅱ","108";"Ⅲ","144"},2,0)</f>
        <v>144</v>
      </c>
      <c r="Y67" s="111"/>
      <c r="Z67" s="118">
        <v>1</v>
      </c>
      <c r="AA67" s="111"/>
      <c r="AB67" s="117" t="str">
        <f>VLOOKUP(O67,{"甲级","1.2";"乙级","1.0";"丙级","0.8"},2,0)</f>
        <v>1.2</v>
      </c>
      <c r="AC67" s="111"/>
      <c r="AD67" s="130">
        <f t="shared" si="3"/>
        <v>-144</v>
      </c>
      <c r="AE67" s="130">
        <f t="shared" si="4"/>
        <v>-1</v>
      </c>
      <c r="AF67" s="130">
        <f t="shared" si="5"/>
        <v>-1.2</v>
      </c>
      <c r="AG67" s="131"/>
      <c r="AH67" s="131"/>
      <c r="AI67" s="131"/>
      <c r="AJ67" s="131"/>
      <c r="AK67" s="131"/>
      <c r="AL67" s="131"/>
      <c r="AM67" s="131"/>
      <c r="AN67" s="131"/>
      <c r="AO67" s="131"/>
    </row>
    <row r="68" spans="1:41" s="47" customFormat="1" ht="14.4" x14ac:dyDescent="0.25">
      <c r="A68" s="14">
        <v>64</v>
      </c>
      <c r="B68" s="206"/>
      <c r="C68" s="208"/>
      <c r="D68" s="208"/>
      <c r="E68" s="89" t="s">
        <v>161</v>
      </c>
      <c r="F68" s="14" t="s">
        <v>36</v>
      </c>
      <c r="G68" s="17" t="s">
        <v>159</v>
      </c>
      <c r="H68" s="162"/>
      <c r="I68" s="17">
        <v>24</v>
      </c>
      <c r="J68" s="17"/>
      <c r="K68" s="17"/>
      <c r="L68" s="17"/>
      <c r="M68" s="163"/>
      <c r="N68" s="165">
        <f t="shared" si="22"/>
        <v>0</v>
      </c>
      <c r="O68" s="14" t="s">
        <v>103</v>
      </c>
      <c r="P68" s="38"/>
      <c r="Q68" s="165">
        <f t="shared" si="23"/>
        <v>0</v>
      </c>
      <c r="R68" s="165">
        <f t="shared" si="24"/>
        <v>0</v>
      </c>
      <c r="S68" s="17" t="s">
        <v>160</v>
      </c>
      <c r="T68" s="17"/>
      <c r="U68" s="104"/>
      <c r="W68" s="154"/>
      <c r="X68" s="119" t="str">
        <f>VLOOKUP(F68,{"Ⅰ","120";"Ⅱ","162";"Ⅲ","216"},2,0)</f>
        <v>216</v>
      </c>
      <c r="Y68" s="111"/>
      <c r="Z68" s="118">
        <v>1</v>
      </c>
      <c r="AA68" s="111"/>
      <c r="AB68" s="117" t="str">
        <f>VLOOKUP(O68,{"甲级","1.2";"乙级","1.0";"丙级","0.8"},2,0)</f>
        <v>1.2</v>
      </c>
      <c r="AC68" s="111"/>
      <c r="AD68" s="130">
        <f t="shared" si="3"/>
        <v>-216</v>
      </c>
      <c r="AE68" s="130">
        <f t="shared" si="4"/>
        <v>-1</v>
      </c>
      <c r="AF68" s="130">
        <f t="shared" si="5"/>
        <v>-1.2</v>
      </c>
      <c r="AG68" s="131"/>
      <c r="AH68" s="131"/>
      <c r="AI68" s="131"/>
      <c r="AJ68" s="131"/>
      <c r="AK68" s="131"/>
      <c r="AL68" s="131"/>
      <c r="AM68" s="131"/>
      <c r="AN68" s="131"/>
      <c r="AO68" s="131"/>
    </row>
    <row r="69" spans="1:41" s="47" customFormat="1" ht="14.4" x14ac:dyDescent="0.25">
      <c r="A69" s="14">
        <v>65</v>
      </c>
      <c r="B69" s="206"/>
      <c r="C69" s="208"/>
      <c r="D69" s="208"/>
      <c r="E69" s="89" t="s">
        <v>162</v>
      </c>
      <c r="F69" s="14" t="s">
        <v>147</v>
      </c>
      <c r="G69" s="17" t="s">
        <v>159</v>
      </c>
      <c r="H69" s="162"/>
      <c r="I69" s="17"/>
      <c r="J69" s="17"/>
      <c r="K69" s="17"/>
      <c r="L69" s="17"/>
      <c r="M69" s="163"/>
      <c r="N69" s="165">
        <f t="shared" si="22"/>
        <v>0</v>
      </c>
      <c r="O69" s="14" t="s">
        <v>103</v>
      </c>
      <c r="P69" s="38"/>
      <c r="Q69" s="165">
        <f t="shared" si="23"/>
        <v>0</v>
      </c>
      <c r="R69" s="165">
        <f t="shared" si="24"/>
        <v>0</v>
      </c>
      <c r="S69" s="17" t="s">
        <v>160</v>
      </c>
      <c r="T69" s="17"/>
      <c r="U69" s="104"/>
      <c r="W69" s="154"/>
      <c r="X69" s="119" t="str">
        <f>VLOOKUP(F69,{"Ⅰ","144";"Ⅱ","194";"Ⅲ","259"},2,0)</f>
        <v>144</v>
      </c>
      <c r="Y69" s="111"/>
      <c r="Z69" s="118">
        <v>1.3</v>
      </c>
      <c r="AA69" s="111"/>
      <c r="AB69" s="117" t="str">
        <f>VLOOKUP(O69,{"甲级","1.2";"乙级","1.0";"丙级","0.8"},2,0)</f>
        <v>1.2</v>
      </c>
      <c r="AC69" s="111"/>
      <c r="AD69" s="130">
        <f t="shared" si="3"/>
        <v>-144</v>
      </c>
      <c r="AE69" s="130">
        <f t="shared" si="4"/>
        <v>-1.3</v>
      </c>
      <c r="AF69" s="130">
        <f t="shared" si="5"/>
        <v>-1.2</v>
      </c>
      <c r="AG69" s="131"/>
      <c r="AH69" s="131"/>
      <c r="AI69" s="131"/>
      <c r="AJ69" s="131"/>
      <c r="AK69" s="131"/>
      <c r="AL69" s="131"/>
      <c r="AM69" s="131"/>
      <c r="AN69" s="131"/>
      <c r="AO69" s="131"/>
    </row>
    <row r="70" spans="1:41" s="47" customFormat="1" ht="14.4" x14ac:dyDescent="0.25">
      <c r="A70" s="14">
        <v>66</v>
      </c>
      <c r="B70" s="206"/>
      <c r="C70" s="209" t="s">
        <v>521</v>
      </c>
      <c r="D70" s="210" t="s">
        <v>163</v>
      </c>
      <c r="E70" s="89" t="s">
        <v>109</v>
      </c>
      <c r="F70" s="14" t="s">
        <v>36</v>
      </c>
      <c r="G70" s="17" t="s">
        <v>110</v>
      </c>
      <c r="H70" s="162"/>
      <c r="I70" s="17">
        <v>13</v>
      </c>
      <c r="J70" s="17"/>
      <c r="K70" s="17"/>
      <c r="L70" s="17"/>
      <c r="M70" s="163"/>
      <c r="N70" s="165">
        <f t="shared" si="22"/>
        <v>0</v>
      </c>
      <c r="O70" s="14" t="s">
        <v>103</v>
      </c>
      <c r="P70" s="38"/>
      <c r="Q70" s="165">
        <f t="shared" si="23"/>
        <v>0</v>
      </c>
      <c r="R70" s="165">
        <f t="shared" si="24"/>
        <v>0</v>
      </c>
      <c r="S70" s="17" t="s">
        <v>160</v>
      </c>
      <c r="T70" s="17"/>
      <c r="U70" s="104"/>
      <c r="W70" s="154"/>
      <c r="X70" s="119" t="str">
        <f>VLOOKUP(F70,{"Ⅰ","50";"Ⅱ","78";"Ⅲ","128";"Ⅳ","300";"Ⅴ","375";"Ⅵ","425"},2,0)</f>
        <v>128</v>
      </c>
      <c r="Y70" s="111"/>
      <c r="Z70" s="118">
        <v>1</v>
      </c>
      <c r="AA70" s="111"/>
      <c r="AB70" s="117" t="str">
        <f>VLOOKUP(O70,{"甲级","1.2";"乙级","1.0";"丙级","0.8"},2,0)</f>
        <v>1.2</v>
      </c>
      <c r="AC70" s="111"/>
      <c r="AD70" s="130">
        <f t="shared" ref="AD70:AD133" si="25">H70+AG70-X70</f>
        <v>-128</v>
      </c>
      <c r="AE70" s="130">
        <f t="shared" ref="AE70:AE133" si="26">M70+AH70-Z70</f>
        <v>-1</v>
      </c>
      <c r="AF70" s="130">
        <f t="shared" ref="AF70:AF133" si="27">P70+AI70-AB70</f>
        <v>-1.2</v>
      </c>
      <c r="AG70" s="131"/>
      <c r="AH70" s="131"/>
      <c r="AI70" s="131"/>
      <c r="AJ70" s="131"/>
      <c r="AK70" s="131"/>
      <c r="AL70" s="131"/>
      <c r="AM70" s="131"/>
      <c r="AN70" s="131"/>
      <c r="AO70" s="131"/>
    </row>
    <row r="71" spans="1:41" s="47" customFormat="1" ht="14.4" x14ac:dyDescent="0.25">
      <c r="A71" s="14">
        <v>67</v>
      </c>
      <c r="B71" s="206"/>
      <c r="C71" s="209"/>
      <c r="D71" s="210"/>
      <c r="E71" s="89" t="s">
        <v>109</v>
      </c>
      <c r="F71" s="14" t="s">
        <v>36</v>
      </c>
      <c r="G71" s="17" t="s">
        <v>110</v>
      </c>
      <c r="H71" s="162"/>
      <c r="I71" s="17">
        <v>4</v>
      </c>
      <c r="J71" s="17"/>
      <c r="K71" s="17"/>
      <c r="L71" s="17"/>
      <c r="M71" s="163"/>
      <c r="N71" s="165">
        <f t="shared" si="22"/>
        <v>0</v>
      </c>
      <c r="O71" s="14" t="s">
        <v>103</v>
      </c>
      <c r="P71" s="38"/>
      <c r="Q71" s="165">
        <f t="shared" si="23"/>
        <v>0</v>
      </c>
      <c r="R71" s="165">
        <f t="shared" si="24"/>
        <v>0</v>
      </c>
      <c r="S71" s="17" t="s">
        <v>160</v>
      </c>
      <c r="T71" s="17"/>
      <c r="U71" s="104"/>
      <c r="W71" s="154"/>
      <c r="X71" s="119" t="str">
        <f>VLOOKUP(F71,{"Ⅰ","50";"Ⅱ","78";"Ⅲ","128";"Ⅳ","300";"Ⅴ","375";"Ⅵ","425"},2,0)</f>
        <v>128</v>
      </c>
      <c r="Y71" s="111"/>
      <c r="Z71" s="118">
        <v>1</v>
      </c>
      <c r="AA71" s="111"/>
      <c r="AB71" s="117" t="str">
        <f>VLOOKUP(O71,{"甲级","1.2";"乙级","1.0";"丙级","0.8"},2,0)</f>
        <v>1.2</v>
      </c>
      <c r="AC71" s="111"/>
      <c r="AD71" s="130">
        <f t="shared" si="25"/>
        <v>-128</v>
      </c>
      <c r="AE71" s="130">
        <f t="shared" si="26"/>
        <v>-1</v>
      </c>
      <c r="AF71" s="130">
        <f t="shared" si="27"/>
        <v>-1.2</v>
      </c>
      <c r="AG71" s="131"/>
      <c r="AH71" s="131"/>
      <c r="AI71" s="131"/>
      <c r="AJ71" s="131"/>
      <c r="AK71" s="131"/>
      <c r="AL71" s="131"/>
      <c r="AM71" s="131"/>
      <c r="AN71" s="131"/>
      <c r="AO71" s="131"/>
    </row>
    <row r="72" spans="1:41" s="47" customFormat="1" ht="14.4" x14ac:dyDescent="0.25">
      <c r="A72" s="14">
        <v>68</v>
      </c>
      <c r="B72" s="206"/>
      <c r="C72" s="209"/>
      <c r="D72" s="210"/>
      <c r="E72" s="89" t="s">
        <v>109</v>
      </c>
      <c r="F72" s="14" t="s">
        <v>113</v>
      </c>
      <c r="G72" s="17" t="s">
        <v>110</v>
      </c>
      <c r="H72" s="162"/>
      <c r="I72" s="17"/>
      <c r="J72" s="17"/>
      <c r="K72" s="17"/>
      <c r="L72" s="17"/>
      <c r="M72" s="163"/>
      <c r="N72" s="165">
        <f t="shared" si="22"/>
        <v>0</v>
      </c>
      <c r="O72" s="14" t="s">
        <v>103</v>
      </c>
      <c r="P72" s="38"/>
      <c r="Q72" s="165">
        <f t="shared" si="23"/>
        <v>0</v>
      </c>
      <c r="R72" s="165">
        <f t="shared" si="24"/>
        <v>0</v>
      </c>
      <c r="S72" s="17" t="s">
        <v>160</v>
      </c>
      <c r="T72" s="17"/>
      <c r="U72" s="104"/>
      <c r="W72" s="154"/>
      <c r="X72" s="119" t="str">
        <f>VLOOKUP(F72,{"Ⅰ","50";"Ⅱ","78";"Ⅲ","128";"Ⅳ","300";"Ⅴ","375";"Ⅵ","425"},2,0)</f>
        <v>300</v>
      </c>
      <c r="Y72" s="111"/>
      <c r="Z72" s="118">
        <v>1.3</v>
      </c>
      <c r="AA72" s="111"/>
      <c r="AB72" s="117" t="str">
        <f>VLOOKUP(O72,{"甲级","1.2";"乙级","1.0";"丙级","0.8"},2,0)</f>
        <v>1.2</v>
      </c>
      <c r="AC72" s="111"/>
      <c r="AD72" s="130">
        <f t="shared" si="25"/>
        <v>-300</v>
      </c>
      <c r="AE72" s="130">
        <f t="shared" si="26"/>
        <v>-1.3</v>
      </c>
      <c r="AF72" s="130">
        <f t="shared" si="27"/>
        <v>-1.2</v>
      </c>
      <c r="AG72" s="131"/>
      <c r="AH72" s="131"/>
      <c r="AI72" s="131"/>
      <c r="AJ72" s="131"/>
      <c r="AK72" s="131"/>
      <c r="AL72" s="131"/>
      <c r="AM72" s="131"/>
      <c r="AN72" s="131"/>
      <c r="AO72" s="131"/>
    </row>
    <row r="73" spans="1:41" s="47" customFormat="1" ht="14.4" x14ac:dyDescent="0.25">
      <c r="A73" s="14">
        <v>69</v>
      </c>
      <c r="B73" s="206"/>
      <c r="C73" s="209"/>
      <c r="D73" s="210"/>
      <c r="E73" s="89" t="s">
        <v>115</v>
      </c>
      <c r="F73" s="14" t="s">
        <v>113</v>
      </c>
      <c r="G73" s="17" t="s">
        <v>110</v>
      </c>
      <c r="H73" s="162"/>
      <c r="I73" s="17"/>
      <c r="J73" s="17"/>
      <c r="K73" s="17"/>
      <c r="L73" s="17"/>
      <c r="M73" s="163"/>
      <c r="N73" s="165">
        <f t="shared" si="22"/>
        <v>0</v>
      </c>
      <c r="O73" s="14" t="s">
        <v>103</v>
      </c>
      <c r="P73" s="38"/>
      <c r="Q73" s="165">
        <f t="shared" si="23"/>
        <v>0</v>
      </c>
      <c r="R73" s="165">
        <f t="shared" si="24"/>
        <v>0</v>
      </c>
      <c r="S73" s="17" t="s">
        <v>160</v>
      </c>
      <c r="T73" s="17"/>
      <c r="U73" s="104"/>
      <c r="W73" s="154"/>
      <c r="X73" s="119" t="str">
        <f>VLOOKUP(F73,{"Ⅰ","63";"Ⅱ","97";"Ⅲ","159";"Ⅳ","375";"Ⅴ","469";"Ⅵ","531"},2,0)</f>
        <v>375</v>
      </c>
      <c r="Y73" s="111"/>
      <c r="Z73" s="118">
        <v>1.3</v>
      </c>
      <c r="AA73" s="111"/>
      <c r="AB73" s="117" t="str">
        <f>VLOOKUP(O73,{"甲级","1.2";"乙级","1.0";"丙级","0.8"},2,0)</f>
        <v>1.2</v>
      </c>
      <c r="AC73" s="111"/>
      <c r="AD73" s="130">
        <f t="shared" si="25"/>
        <v>-375</v>
      </c>
      <c r="AE73" s="130">
        <f t="shared" si="26"/>
        <v>-1.3</v>
      </c>
      <c r="AF73" s="130">
        <f t="shared" si="27"/>
        <v>-1.2</v>
      </c>
      <c r="AG73" s="131"/>
      <c r="AH73" s="131"/>
      <c r="AI73" s="131"/>
      <c r="AJ73" s="131"/>
      <c r="AK73" s="131"/>
      <c r="AL73" s="131"/>
      <c r="AM73" s="131"/>
      <c r="AN73" s="131"/>
      <c r="AO73" s="131"/>
    </row>
    <row r="74" spans="1:41" s="47" customFormat="1" ht="14.4" x14ac:dyDescent="0.25">
      <c r="A74" s="14">
        <v>70</v>
      </c>
      <c r="B74" s="206"/>
      <c r="C74" s="209"/>
      <c r="D74" s="210"/>
      <c r="E74" s="89" t="s">
        <v>115</v>
      </c>
      <c r="F74" s="14" t="s">
        <v>113</v>
      </c>
      <c r="G74" s="17" t="s">
        <v>110</v>
      </c>
      <c r="H74" s="162"/>
      <c r="I74" s="17"/>
      <c r="J74" s="17"/>
      <c r="K74" s="17"/>
      <c r="L74" s="17"/>
      <c r="M74" s="163"/>
      <c r="N74" s="165">
        <f t="shared" ref="N74:N85" si="28">H74*I74*M74</f>
        <v>0</v>
      </c>
      <c r="O74" s="14" t="s">
        <v>103</v>
      </c>
      <c r="P74" s="38"/>
      <c r="Q74" s="165">
        <f t="shared" ref="Q74:Q85" si="29">N74*P74</f>
        <v>0</v>
      </c>
      <c r="R74" s="165">
        <f t="shared" ref="R74:R85" si="30">N74+Q74</f>
        <v>0</v>
      </c>
      <c r="S74" s="17" t="s">
        <v>160</v>
      </c>
      <c r="T74" s="17"/>
      <c r="U74" s="104"/>
      <c r="W74" s="154"/>
      <c r="X74" s="119" t="str">
        <f>VLOOKUP(F74,{"Ⅰ","63";"Ⅱ","97";"Ⅲ","159";"Ⅳ","375";"Ⅴ","469";"Ⅵ","531"},2,0)</f>
        <v>375</v>
      </c>
      <c r="Y74" s="111"/>
      <c r="Z74" s="118">
        <v>1.3</v>
      </c>
      <c r="AA74" s="111"/>
      <c r="AB74" s="117" t="str">
        <f>VLOOKUP(O74,{"甲级","1.2";"乙级","1.0";"丙级","0.8"},2,0)</f>
        <v>1.2</v>
      </c>
      <c r="AC74" s="111"/>
      <c r="AD74" s="130">
        <f t="shared" si="25"/>
        <v>-375</v>
      </c>
      <c r="AE74" s="130">
        <f t="shared" si="26"/>
        <v>-1.3</v>
      </c>
      <c r="AF74" s="130">
        <f t="shared" si="27"/>
        <v>-1.2</v>
      </c>
      <c r="AG74" s="131"/>
      <c r="AH74" s="131"/>
      <c r="AI74" s="131"/>
      <c r="AJ74" s="131"/>
      <c r="AK74" s="131"/>
      <c r="AL74" s="131"/>
      <c r="AM74" s="131"/>
      <c r="AN74" s="131"/>
      <c r="AO74" s="131"/>
    </row>
    <row r="75" spans="1:41" s="47" customFormat="1" ht="14.4" x14ac:dyDescent="0.25">
      <c r="A75" s="14">
        <v>71</v>
      </c>
      <c r="B75" s="206"/>
      <c r="C75" s="209"/>
      <c r="D75" s="210"/>
      <c r="E75" s="89" t="s">
        <v>117</v>
      </c>
      <c r="F75" s="14" t="s">
        <v>147</v>
      </c>
      <c r="G75" s="17" t="s">
        <v>110</v>
      </c>
      <c r="H75" s="162"/>
      <c r="I75" s="17"/>
      <c r="J75" s="17"/>
      <c r="K75" s="17"/>
      <c r="L75" s="17"/>
      <c r="M75" s="163"/>
      <c r="N75" s="165">
        <f t="shared" si="28"/>
        <v>0</v>
      </c>
      <c r="O75" s="14" t="s">
        <v>103</v>
      </c>
      <c r="P75" s="38"/>
      <c r="Q75" s="165">
        <f t="shared" si="29"/>
        <v>0</v>
      </c>
      <c r="R75" s="165">
        <f t="shared" si="30"/>
        <v>0</v>
      </c>
      <c r="S75" s="17" t="s">
        <v>160</v>
      </c>
      <c r="T75" s="17"/>
      <c r="U75" s="104"/>
      <c r="W75" s="154"/>
      <c r="X75" s="119" t="str">
        <f>VLOOKUP(F75,{"Ⅰ","75";"Ⅱ","116";"Ⅲ","191";"Ⅳ","450";"Ⅴ","563";"Ⅵ","638"},2,0)</f>
        <v>75</v>
      </c>
      <c r="Y75" s="111"/>
      <c r="Z75" s="118">
        <v>1.3</v>
      </c>
      <c r="AA75" s="111"/>
      <c r="AB75" s="117" t="str">
        <f>VLOOKUP(O75,{"甲级","1.2";"乙级","1.0";"丙级","0.8"},2,0)</f>
        <v>1.2</v>
      </c>
      <c r="AC75" s="111"/>
      <c r="AD75" s="130">
        <f t="shared" si="25"/>
        <v>-75</v>
      </c>
      <c r="AE75" s="130">
        <f t="shared" si="26"/>
        <v>-1.3</v>
      </c>
      <c r="AF75" s="130">
        <f t="shared" si="27"/>
        <v>-1.2</v>
      </c>
      <c r="AG75" s="131"/>
      <c r="AH75" s="131"/>
      <c r="AI75" s="131"/>
      <c r="AJ75" s="131"/>
      <c r="AK75" s="131"/>
      <c r="AL75" s="131"/>
      <c r="AM75" s="131"/>
      <c r="AN75" s="131"/>
      <c r="AO75" s="131"/>
    </row>
    <row r="76" spans="1:41" s="47" customFormat="1" ht="14.4" x14ac:dyDescent="0.25">
      <c r="A76" s="14">
        <v>72</v>
      </c>
      <c r="B76" s="206"/>
      <c r="C76" s="209"/>
      <c r="D76" s="210"/>
      <c r="E76" s="89" t="s">
        <v>118</v>
      </c>
      <c r="F76" s="14" t="s">
        <v>147</v>
      </c>
      <c r="G76" s="17" t="s">
        <v>110</v>
      </c>
      <c r="H76" s="162"/>
      <c r="I76" s="17"/>
      <c r="J76" s="17"/>
      <c r="K76" s="17"/>
      <c r="L76" s="17"/>
      <c r="M76" s="163"/>
      <c r="N76" s="165">
        <f t="shared" si="28"/>
        <v>0</v>
      </c>
      <c r="O76" s="14" t="s">
        <v>103</v>
      </c>
      <c r="P76" s="38"/>
      <c r="Q76" s="165">
        <f t="shared" si="29"/>
        <v>0</v>
      </c>
      <c r="R76" s="165">
        <f t="shared" si="30"/>
        <v>0</v>
      </c>
      <c r="S76" s="17" t="s">
        <v>160</v>
      </c>
      <c r="T76" s="17"/>
      <c r="U76" s="104"/>
      <c r="W76" s="154"/>
      <c r="X76" s="119" t="str">
        <f>VLOOKUP(F76,{"Ⅰ","89";"Ⅱ","138";"Ⅲ","227";"Ⅳ","534";"Ⅴ","668";"Ⅵ","757"},2,0)</f>
        <v>89</v>
      </c>
      <c r="Y76" s="111"/>
      <c r="Z76" s="118">
        <v>1.3</v>
      </c>
      <c r="AA76" s="111"/>
      <c r="AB76" s="117" t="str">
        <f>VLOOKUP(O76,{"甲级","1.2";"乙级","1.0";"丙级","0.8"},2,0)</f>
        <v>1.2</v>
      </c>
      <c r="AC76" s="111"/>
      <c r="AD76" s="130">
        <f t="shared" si="25"/>
        <v>-89</v>
      </c>
      <c r="AE76" s="130">
        <f t="shared" si="26"/>
        <v>-1.3</v>
      </c>
      <c r="AF76" s="130">
        <f t="shared" si="27"/>
        <v>-1.2</v>
      </c>
      <c r="AG76" s="131"/>
      <c r="AH76" s="131"/>
      <c r="AI76" s="131"/>
      <c r="AJ76" s="131"/>
      <c r="AK76" s="131"/>
      <c r="AL76" s="131"/>
      <c r="AM76" s="131"/>
      <c r="AN76" s="131"/>
      <c r="AO76" s="131"/>
    </row>
    <row r="77" spans="1:41" s="47" customFormat="1" ht="14.4" x14ac:dyDescent="0.25">
      <c r="A77" s="14">
        <v>73</v>
      </c>
      <c r="B77" s="206"/>
      <c r="C77" s="209"/>
      <c r="D77" s="210"/>
      <c r="E77" s="89" t="s">
        <v>119</v>
      </c>
      <c r="F77" s="14" t="s">
        <v>147</v>
      </c>
      <c r="G77" s="17" t="s">
        <v>110</v>
      </c>
      <c r="H77" s="162"/>
      <c r="I77" s="17"/>
      <c r="J77" s="17"/>
      <c r="K77" s="17"/>
      <c r="L77" s="17"/>
      <c r="M77" s="163"/>
      <c r="N77" s="165">
        <f t="shared" si="28"/>
        <v>0</v>
      </c>
      <c r="O77" s="14" t="s">
        <v>103</v>
      </c>
      <c r="P77" s="38"/>
      <c r="Q77" s="165">
        <f t="shared" si="29"/>
        <v>0</v>
      </c>
      <c r="R77" s="165">
        <f t="shared" si="30"/>
        <v>0</v>
      </c>
      <c r="S77" s="17" t="s">
        <v>160</v>
      </c>
      <c r="T77" s="17"/>
      <c r="U77" s="104"/>
      <c r="W77" s="154"/>
      <c r="X77" s="119" t="str">
        <f>VLOOKUP(F77,{"Ⅰ","106";"Ⅱ","164";"Ⅲ","270";"Ⅳ","636";"Ⅴ","795";"Ⅵ","901"},2,0)</f>
        <v>106</v>
      </c>
      <c r="Y77" s="111"/>
      <c r="Z77" s="118">
        <v>1.3</v>
      </c>
      <c r="AA77" s="111"/>
      <c r="AB77" s="117" t="str">
        <f>VLOOKUP(O77,{"甲级","1.2";"乙级","1.0";"丙级","0.8"},2,0)</f>
        <v>1.2</v>
      </c>
      <c r="AC77" s="111"/>
      <c r="AD77" s="130">
        <f t="shared" si="25"/>
        <v>-106</v>
      </c>
      <c r="AE77" s="130">
        <f t="shared" si="26"/>
        <v>-1.3</v>
      </c>
      <c r="AF77" s="130">
        <f t="shared" si="27"/>
        <v>-1.2</v>
      </c>
      <c r="AG77" s="131"/>
      <c r="AH77" s="131"/>
      <c r="AI77" s="131"/>
      <c r="AJ77" s="131"/>
      <c r="AK77" s="131"/>
      <c r="AL77" s="131"/>
      <c r="AM77" s="131"/>
      <c r="AN77" s="131"/>
      <c r="AO77" s="131"/>
    </row>
    <row r="78" spans="1:41" s="47" customFormat="1" ht="14.4" x14ac:dyDescent="0.25">
      <c r="A78" s="14">
        <v>74</v>
      </c>
      <c r="B78" s="206"/>
      <c r="C78" s="209" t="s">
        <v>164</v>
      </c>
      <c r="D78" s="210" t="s">
        <v>165</v>
      </c>
      <c r="E78" s="89" t="s">
        <v>109</v>
      </c>
      <c r="F78" s="14" t="s">
        <v>147</v>
      </c>
      <c r="G78" s="17" t="s">
        <v>110</v>
      </c>
      <c r="H78" s="162"/>
      <c r="I78" s="17"/>
      <c r="J78" s="17"/>
      <c r="K78" s="17"/>
      <c r="L78" s="17"/>
      <c r="M78" s="163"/>
      <c r="N78" s="165">
        <f t="shared" si="28"/>
        <v>0</v>
      </c>
      <c r="O78" s="14" t="s">
        <v>103</v>
      </c>
      <c r="P78" s="38"/>
      <c r="Q78" s="165">
        <f t="shared" si="29"/>
        <v>0</v>
      </c>
      <c r="R78" s="165">
        <f t="shared" si="30"/>
        <v>0</v>
      </c>
      <c r="S78" s="17" t="s">
        <v>160</v>
      </c>
      <c r="T78" s="17"/>
      <c r="U78" s="104"/>
      <c r="W78" s="154"/>
      <c r="X78" s="119" t="str">
        <f>VLOOKUP(F78,{"Ⅰ","39.10";"Ⅱ","56.35";"Ⅲ","94.30"},2,0)</f>
        <v>39.10</v>
      </c>
      <c r="Y78" s="111"/>
      <c r="Z78" s="118">
        <v>1.3</v>
      </c>
      <c r="AA78" s="111"/>
      <c r="AB78" s="117" t="str">
        <f>VLOOKUP(O78,{"甲级","1.2";"乙级","1.0";"丙级","0.8"},2,0)</f>
        <v>1.2</v>
      </c>
      <c r="AC78" s="111"/>
      <c r="AD78" s="130">
        <f t="shared" si="25"/>
        <v>-39.1</v>
      </c>
      <c r="AE78" s="130">
        <f t="shared" si="26"/>
        <v>-1.3</v>
      </c>
      <c r="AF78" s="130">
        <f t="shared" si="27"/>
        <v>-1.2</v>
      </c>
      <c r="AG78" s="131"/>
      <c r="AH78" s="131"/>
      <c r="AI78" s="131"/>
      <c r="AJ78" s="131"/>
      <c r="AK78" s="131"/>
      <c r="AL78" s="131"/>
      <c r="AM78" s="131"/>
      <c r="AN78" s="131"/>
      <c r="AO78" s="131"/>
    </row>
    <row r="79" spans="1:41" s="47" customFormat="1" ht="14.4" x14ac:dyDescent="0.25">
      <c r="A79" s="14">
        <v>75</v>
      </c>
      <c r="B79" s="206"/>
      <c r="C79" s="209"/>
      <c r="D79" s="210"/>
      <c r="E79" s="89" t="s">
        <v>115</v>
      </c>
      <c r="F79" s="14" t="s">
        <v>147</v>
      </c>
      <c r="G79" s="17" t="s">
        <v>110</v>
      </c>
      <c r="H79" s="162"/>
      <c r="I79" s="17"/>
      <c r="J79" s="17"/>
      <c r="K79" s="17"/>
      <c r="L79" s="17"/>
      <c r="M79" s="163"/>
      <c r="N79" s="165">
        <f t="shared" si="28"/>
        <v>0</v>
      </c>
      <c r="O79" s="14" t="s">
        <v>103</v>
      </c>
      <c r="P79" s="38"/>
      <c r="Q79" s="165">
        <f t="shared" si="29"/>
        <v>0</v>
      </c>
      <c r="R79" s="165">
        <f t="shared" si="30"/>
        <v>0</v>
      </c>
      <c r="S79" s="17" t="s">
        <v>160</v>
      </c>
      <c r="T79" s="17"/>
      <c r="U79" s="104"/>
      <c r="W79" s="154"/>
      <c r="X79" s="119" t="str">
        <f>VLOOKUP(F79,{"Ⅰ","49.45";"Ⅱ","71.30";"Ⅲ","117.30"},2,0)</f>
        <v>49.45</v>
      </c>
      <c r="Y79" s="111"/>
      <c r="Z79" s="118">
        <v>1.3</v>
      </c>
      <c r="AA79" s="111"/>
      <c r="AB79" s="117" t="str">
        <f>VLOOKUP(O79,{"甲级","1.2";"乙级","1.0";"丙级","0.8"},2,0)</f>
        <v>1.2</v>
      </c>
      <c r="AC79" s="111"/>
      <c r="AD79" s="130">
        <f t="shared" si="25"/>
        <v>-49.45</v>
      </c>
      <c r="AE79" s="130">
        <f t="shared" si="26"/>
        <v>-1.3</v>
      </c>
      <c r="AF79" s="130">
        <f t="shared" si="27"/>
        <v>-1.2</v>
      </c>
      <c r="AG79" s="131"/>
      <c r="AH79" s="131"/>
      <c r="AI79" s="131"/>
      <c r="AJ79" s="131"/>
      <c r="AK79" s="131"/>
      <c r="AL79" s="131"/>
      <c r="AM79" s="131"/>
      <c r="AN79" s="131"/>
      <c r="AO79" s="131"/>
    </row>
    <row r="80" spans="1:41" s="47" customFormat="1" ht="14.4" x14ac:dyDescent="0.25">
      <c r="A80" s="14">
        <v>76</v>
      </c>
      <c r="B80" s="206"/>
      <c r="C80" s="209"/>
      <c r="D80" s="210"/>
      <c r="E80" s="89" t="s">
        <v>117</v>
      </c>
      <c r="F80" s="14" t="s">
        <v>147</v>
      </c>
      <c r="G80" s="17" t="s">
        <v>110</v>
      </c>
      <c r="H80" s="162"/>
      <c r="I80" s="17"/>
      <c r="J80" s="17"/>
      <c r="K80" s="17"/>
      <c r="L80" s="17"/>
      <c r="M80" s="163"/>
      <c r="N80" s="165">
        <f t="shared" si="28"/>
        <v>0</v>
      </c>
      <c r="O80" s="14" t="s">
        <v>103</v>
      </c>
      <c r="P80" s="38"/>
      <c r="Q80" s="165">
        <f t="shared" si="29"/>
        <v>0</v>
      </c>
      <c r="R80" s="165">
        <f t="shared" si="30"/>
        <v>0</v>
      </c>
      <c r="S80" s="17" t="s">
        <v>160</v>
      </c>
      <c r="T80" s="17"/>
      <c r="U80" s="104"/>
      <c r="W80" s="154"/>
      <c r="X80" s="119" t="str">
        <f>VLOOKUP(F80,{"Ⅰ","58.65";"Ⅱ","85.10";"Ⅲ","140.30"},2,0)</f>
        <v>58.65</v>
      </c>
      <c r="Y80" s="111"/>
      <c r="Z80" s="118">
        <v>1.3</v>
      </c>
      <c r="AA80" s="111"/>
      <c r="AB80" s="117" t="str">
        <f>VLOOKUP(O80,{"甲级","1.2";"乙级","1.0";"丙级","0.8"},2,0)</f>
        <v>1.2</v>
      </c>
      <c r="AC80" s="111"/>
      <c r="AD80" s="130">
        <f t="shared" si="25"/>
        <v>-58.65</v>
      </c>
      <c r="AE80" s="130">
        <f t="shared" si="26"/>
        <v>-1.3</v>
      </c>
      <c r="AF80" s="130">
        <f t="shared" si="27"/>
        <v>-1.2</v>
      </c>
      <c r="AG80" s="131"/>
      <c r="AH80" s="131"/>
      <c r="AI80" s="131"/>
      <c r="AJ80" s="131"/>
      <c r="AK80" s="131"/>
      <c r="AL80" s="131"/>
      <c r="AM80" s="131"/>
      <c r="AN80" s="131"/>
      <c r="AO80" s="131"/>
    </row>
    <row r="81" spans="1:41" s="47" customFormat="1" ht="14.4" x14ac:dyDescent="0.25">
      <c r="A81" s="14">
        <v>77</v>
      </c>
      <c r="B81" s="206"/>
      <c r="C81" s="209"/>
      <c r="D81" s="210"/>
      <c r="E81" s="89" t="s">
        <v>118</v>
      </c>
      <c r="F81" s="14" t="s">
        <v>147</v>
      </c>
      <c r="G81" s="17" t="s">
        <v>110</v>
      </c>
      <c r="H81" s="162"/>
      <c r="I81" s="17"/>
      <c r="J81" s="17"/>
      <c r="K81" s="17"/>
      <c r="L81" s="17"/>
      <c r="M81" s="163"/>
      <c r="N81" s="165">
        <f t="shared" si="28"/>
        <v>0</v>
      </c>
      <c r="O81" s="14" t="s">
        <v>103</v>
      </c>
      <c r="P81" s="38"/>
      <c r="Q81" s="165">
        <f t="shared" si="29"/>
        <v>0</v>
      </c>
      <c r="R81" s="165">
        <f t="shared" si="30"/>
        <v>0</v>
      </c>
      <c r="S81" s="17" t="s">
        <v>160</v>
      </c>
      <c r="T81" s="17"/>
      <c r="U81" s="104"/>
      <c r="W81" s="154"/>
      <c r="X81" s="119" t="str">
        <f>VLOOKUP(F81,{"Ⅰ","70.15";"Ⅱ","101.20";"Ⅲ","166.75"},2,0)</f>
        <v>70.15</v>
      </c>
      <c r="Y81" s="111"/>
      <c r="Z81" s="118">
        <v>1.3</v>
      </c>
      <c r="AA81" s="111"/>
      <c r="AB81" s="117" t="str">
        <f>VLOOKUP(O81,{"甲级","1.2";"乙级","1.0";"丙级","0.8"},2,0)</f>
        <v>1.2</v>
      </c>
      <c r="AC81" s="111"/>
      <c r="AD81" s="130">
        <f t="shared" si="25"/>
        <v>-70.150000000000006</v>
      </c>
      <c r="AE81" s="130">
        <f t="shared" si="26"/>
        <v>-1.3</v>
      </c>
      <c r="AF81" s="130">
        <f t="shared" si="27"/>
        <v>-1.2</v>
      </c>
      <c r="AG81" s="131"/>
      <c r="AH81" s="131"/>
      <c r="AI81" s="131"/>
      <c r="AJ81" s="131"/>
      <c r="AK81" s="131"/>
      <c r="AL81" s="131"/>
      <c r="AM81" s="131"/>
      <c r="AN81" s="131"/>
      <c r="AO81" s="131"/>
    </row>
    <row r="82" spans="1:41" s="47" customFormat="1" ht="14.4" x14ac:dyDescent="0.25">
      <c r="A82" s="14">
        <v>78</v>
      </c>
      <c r="B82" s="206"/>
      <c r="C82" s="209"/>
      <c r="D82" s="210"/>
      <c r="E82" s="89" t="s">
        <v>119</v>
      </c>
      <c r="F82" s="14" t="s">
        <v>147</v>
      </c>
      <c r="G82" s="17" t="s">
        <v>110</v>
      </c>
      <c r="H82" s="162"/>
      <c r="I82" s="17"/>
      <c r="J82" s="17"/>
      <c r="K82" s="17"/>
      <c r="L82" s="17"/>
      <c r="M82" s="163"/>
      <c r="N82" s="165">
        <f t="shared" si="28"/>
        <v>0</v>
      </c>
      <c r="O82" s="14" t="s">
        <v>103</v>
      </c>
      <c r="P82" s="38"/>
      <c r="Q82" s="165">
        <f t="shared" si="29"/>
        <v>0</v>
      </c>
      <c r="R82" s="165">
        <f t="shared" si="30"/>
        <v>0</v>
      </c>
      <c r="S82" s="17" t="s">
        <v>160</v>
      </c>
      <c r="T82" s="17"/>
      <c r="U82" s="104"/>
      <c r="W82" s="154"/>
      <c r="X82" s="119" t="str">
        <f>VLOOKUP(F82,{"Ⅰ","82.80";"Ⅱ","120.75";"Ⅲ","198.95"},2,0)</f>
        <v>82.80</v>
      </c>
      <c r="Y82" s="111"/>
      <c r="Z82" s="118">
        <v>1.3</v>
      </c>
      <c r="AA82" s="111"/>
      <c r="AB82" s="117" t="str">
        <f>VLOOKUP(O82,{"甲级","1.2";"乙级","1.0";"丙级","0.8"},2,0)</f>
        <v>1.2</v>
      </c>
      <c r="AC82" s="111"/>
      <c r="AD82" s="130">
        <f t="shared" si="25"/>
        <v>-82.8</v>
      </c>
      <c r="AE82" s="130">
        <f t="shared" si="26"/>
        <v>-1.3</v>
      </c>
      <c r="AF82" s="130">
        <f t="shared" si="27"/>
        <v>-1.2</v>
      </c>
      <c r="AG82" s="131"/>
      <c r="AH82" s="131"/>
      <c r="AI82" s="131"/>
      <c r="AJ82" s="131"/>
      <c r="AK82" s="131"/>
      <c r="AL82" s="131"/>
      <c r="AM82" s="131"/>
      <c r="AN82" s="131"/>
      <c r="AO82" s="131"/>
    </row>
    <row r="83" spans="1:41" s="47" customFormat="1" ht="14.4" x14ac:dyDescent="0.25">
      <c r="A83" s="14">
        <v>79</v>
      </c>
      <c r="B83" s="206"/>
      <c r="C83" s="209"/>
      <c r="D83" s="210"/>
      <c r="E83" s="89" t="s">
        <v>120</v>
      </c>
      <c r="F83" s="14" t="s">
        <v>147</v>
      </c>
      <c r="G83" s="17" t="s">
        <v>110</v>
      </c>
      <c r="H83" s="162"/>
      <c r="I83" s="17"/>
      <c r="J83" s="17"/>
      <c r="K83" s="17"/>
      <c r="L83" s="17"/>
      <c r="M83" s="163"/>
      <c r="N83" s="165">
        <f t="shared" si="28"/>
        <v>0</v>
      </c>
      <c r="O83" s="14" t="s">
        <v>103</v>
      </c>
      <c r="P83" s="38"/>
      <c r="Q83" s="165">
        <f t="shared" si="29"/>
        <v>0</v>
      </c>
      <c r="R83" s="165">
        <f t="shared" si="30"/>
        <v>0</v>
      </c>
      <c r="S83" s="17" t="s">
        <v>160</v>
      </c>
      <c r="T83" s="17"/>
      <c r="U83" s="104"/>
      <c r="W83" s="154"/>
      <c r="X83" s="119" t="str">
        <f>VLOOKUP(F83,{"Ⅰ","92";"Ⅱ","133.40";"Ⅲ","221.95"},2,0)</f>
        <v>92</v>
      </c>
      <c r="Y83" s="111"/>
      <c r="Z83" s="118">
        <v>1.3</v>
      </c>
      <c r="AA83" s="111"/>
      <c r="AB83" s="117" t="str">
        <f>VLOOKUP(O83,{"甲级","1.2";"乙级","1.0";"丙级","0.8"},2,0)</f>
        <v>1.2</v>
      </c>
      <c r="AC83" s="111"/>
      <c r="AD83" s="130">
        <f t="shared" si="25"/>
        <v>-92</v>
      </c>
      <c r="AE83" s="130">
        <f t="shared" si="26"/>
        <v>-1.3</v>
      </c>
      <c r="AF83" s="130">
        <f t="shared" si="27"/>
        <v>-1.2</v>
      </c>
      <c r="AG83" s="131"/>
      <c r="AH83" s="131"/>
      <c r="AI83" s="131"/>
      <c r="AJ83" s="131"/>
      <c r="AK83" s="131"/>
      <c r="AL83" s="131"/>
      <c r="AM83" s="131"/>
      <c r="AN83" s="131"/>
      <c r="AO83" s="131"/>
    </row>
    <row r="84" spans="1:41" s="47" customFormat="1" ht="14.4" x14ac:dyDescent="0.25">
      <c r="A84" s="14">
        <v>80</v>
      </c>
      <c r="B84" s="206"/>
      <c r="C84" s="209"/>
      <c r="D84" s="210"/>
      <c r="E84" s="89" t="s">
        <v>121</v>
      </c>
      <c r="F84" s="14" t="s">
        <v>147</v>
      </c>
      <c r="G84" s="17" t="s">
        <v>110</v>
      </c>
      <c r="H84" s="162"/>
      <c r="I84" s="17"/>
      <c r="J84" s="17"/>
      <c r="K84" s="17"/>
      <c r="L84" s="17"/>
      <c r="M84" s="163"/>
      <c r="N84" s="165">
        <f t="shared" si="28"/>
        <v>0</v>
      </c>
      <c r="O84" s="14" t="s">
        <v>103</v>
      </c>
      <c r="P84" s="38"/>
      <c r="Q84" s="165">
        <f t="shared" si="29"/>
        <v>0</v>
      </c>
      <c r="R84" s="165">
        <f t="shared" si="30"/>
        <v>0</v>
      </c>
      <c r="S84" s="17" t="s">
        <v>160</v>
      </c>
      <c r="T84" s="17"/>
      <c r="U84" s="104"/>
      <c r="W84" s="154"/>
      <c r="X84" s="119" t="str">
        <f>VLOOKUP(F84,{"Ⅰ","102.35";"Ⅱ","148.35";"Ⅲ","246.10"},2,0)</f>
        <v>102.35</v>
      </c>
      <c r="Y84" s="111"/>
      <c r="Z84" s="118">
        <v>1.3</v>
      </c>
      <c r="AA84" s="111"/>
      <c r="AB84" s="117" t="str">
        <f>VLOOKUP(O84,{"甲级","1.2";"乙级","1.0";"丙级","0.8"},2,0)</f>
        <v>1.2</v>
      </c>
      <c r="AC84" s="111"/>
      <c r="AD84" s="130">
        <f t="shared" si="25"/>
        <v>-102.35</v>
      </c>
      <c r="AE84" s="130">
        <f t="shared" si="26"/>
        <v>-1.3</v>
      </c>
      <c r="AF84" s="130">
        <f t="shared" si="27"/>
        <v>-1.2</v>
      </c>
      <c r="AG84" s="131"/>
      <c r="AH84" s="131"/>
      <c r="AI84" s="131"/>
      <c r="AJ84" s="131"/>
      <c r="AK84" s="131"/>
      <c r="AL84" s="131"/>
      <c r="AM84" s="131"/>
      <c r="AN84" s="131"/>
      <c r="AO84" s="131"/>
    </row>
    <row r="85" spans="1:41" s="47" customFormat="1" ht="24" x14ac:dyDescent="0.25">
      <c r="A85" s="14">
        <v>81</v>
      </c>
      <c r="B85" s="207"/>
      <c r="C85" s="11" t="s">
        <v>522</v>
      </c>
      <c r="D85" s="37" t="s">
        <v>166</v>
      </c>
      <c r="E85" s="89" t="s">
        <v>167</v>
      </c>
      <c r="F85" s="14"/>
      <c r="G85" s="17" t="s">
        <v>168</v>
      </c>
      <c r="H85" s="162"/>
      <c r="I85" s="17">
        <v>3</v>
      </c>
      <c r="J85" s="17"/>
      <c r="K85" s="17"/>
      <c r="L85" s="17"/>
      <c r="M85" s="163"/>
      <c r="N85" s="165">
        <f t="shared" si="28"/>
        <v>0</v>
      </c>
      <c r="O85" s="14" t="s">
        <v>103</v>
      </c>
      <c r="P85" s="38"/>
      <c r="Q85" s="165">
        <f t="shared" si="29"/>
        <v>0</v>
      </c>
      <c r="R85" s="165">
        <f t="shared" si="30"/>
        <v>0</v>
      </c>
      <c r="S85" s="17" t="s">
        <v>160</v>
      </c>
      <c r="T85" s="17"/>
      <c r="U85" s="104"/>
      <c r="W85" s="154"/>
      <c r="X85" s="119">
        <v>35100</v>
      </c>
      <c r="Y85" s="111"/>
      <c r="Z85" s="118">
        <v>1</v>
      </c>
      <c r="AA85" s="111"/>
      <c r="AB85" s="117" t="str">
        <f>VLOOKUP(O85,{"甲级","1.2";"乙级","1.0";"丙级","0.8"},2,0)</f>
        <v>1.2</v>
      </c>
      <c r="AC85" s="111"/>
      <c r="AD85" s="130">
        <f t="shared" si="25"/>
        <v>-35100</v>
      </c>
      <c r="AE85" s="130">
        <f t="shared" si="26"/>
        <v>-1</v>
      </c>
      <c r="AF85" s="130">
        <f t="shared" si="27"/>
        <v>-1.2</v>
      </c>
      <c r="AG85" s="131"/>
      <c r="AH85" s="131"/>
      <c r="AI85" s="131"/>
      <c r="AJ85" s="131"/>
      <c r="AK85" s="131"/>
      <c r="AL85" s="131"/>
      <c r="AM85" s="131"/>
      <c r="AN85" s="131"/>
      <c r="AO85" s="131"/>
    </row>
    <row r="86" spans="1:41" s="47" customFormat="1" ht="36" customHeight="1" x14ac:dyDescent="0.25">
      <c r="A86" s="14">
        <v>82</v>
      </c>
      <c r="B86" s="205" t="s">
        <v>535</v>
      </c>
      <c r="C86" s="209" t="s">
        <v>523</v>
      </c>
      <c r="D86" s="210" t="s">
        <v>169</v>
      </c>
      <c r="E86" s="89" t="s">
        <v>158</v>
      </c>
      <c r="F86" s="14"/>
      <c r="G86" s="17" t="s">
        <v>170</v>
      </c>
      <c r="H86" s="162"/>
      <c r="I86" s="17">
        <v>70</v>
      </c>
      <c r="J86" s="17"/>
      <c r="K86" s="17"/>
      <c r="L86" s="17"/>
      <c r="M86" s="163"/>
      <c r="N86" s="165">
        <f t="shared" ref="N86:N97" si="31">H86*I86*M86</f>
        <v>0</v>
      </c>
      <c r="O86" s="14" t="s">
        <v>103</v>
      </c>
      <c r="P86" s="38"/>
      <c r="Q86" s="165">
        <f t="shared" ref="Q86:Q97" si="32">N86*P86</f>
        <v>0</v>
      </c>
      <c r="R86" s="165">
        <f t="shared" ref="R86:R97" si="33">N86+Q86</f>
        <v>0</v>
      </c>
      <c r="S86" s="17" t="s">
        <v>160</v>
      </c>
      <c r="T86" s="17"/>
      <c r="U86" s="104"/>
      <c r="W86" s="154"/>
      <c r="X86" s="119">
        <v>1753</v>
      </c>
      <c r="Y86" s="111"/>
      <c r="Z86" s="118">
        <v>1</v>
      </c>
      <c r="AA86" s="111"/>
      <c r="AB86" s="117" t="str">
        <f>VLOOKUP(O86,{"甲级","1.2";"乙级","1.0";"丙级","0.8"},2,0)</f>
        <v>1.2</v>
      </c>
      <c r="AC86" s="111"/>
      <c r="AD86" s="130">
        <f t="shared" si="25"/>
        <v>-1753</v>
      </c>
      <c r="AE86" s="130">
        <f t="shared" si="26"/>
        <v>-1</v>
      </c>
      <c r="AF86" s="130">
        <f t="shared" si="27"/>
        <v>-1.2</v>
      </c>
      <c r="AG86" s="131"/>
      <c r="AH86" s="131"/>
      <c r="AI86" s="131"/>
      <c r="AJ86" s="131"/>
      <c r="AK86" s="131"/>
      <c r="AL86" s="131"/>
      <c r="AM86" s="131"/>
      <c r="AN86" s="131"/>
      <c r="AO86" s="131"/>
    </row>
    <row r="87" spans="1:41" s="47" customFormat="1" ht="14.4" x14ac:dyDescent="0.25">
      <c r="A87" s="14">
        <v>83</v>
      </c>
      <c r="B87" s="206"/>
      <c r="C87" s="209"/>
      <c r="D87" s="210"/>
      <c r="E87" s="89" t="s">
        <v>171</v>
      </c>
      <c r="F87" s="14"/>
      <c r="G87" s="17" t="s">
        <v>170</v>
      </c>
      <c r="H87" s="162"/>
      <c r="I87" s="17"/>
      <c r="J87" s="17"/>
      <c r="K87" s="17"/>
      <c r="L87" s="17"/>
      <c r="M87" s="163"/>
      <c r="N87" s="165">
        <f t="shared" si="31"/>
        <v>0</v>
      </c>
      <c r="O87" s="14" t="s">
        <v>103</v>
      </c>
      <c r="P87" s="38"/>
      <c r="Q87" s="165">
        <f t="shared" si="32"/>
        <v>0</v>
      </c>
      <c r="R87" s="165">
        <f t="shared" si="33"/>
        <v>0</v>
      </c>
      <c r="S87" s="17" t="s">
        <v>160</v>
      </c>
      <c r="T87" s="17"/>
      <c r="U87" s="104"/>
      <c r="W87" s="154"/>
      <c r="X87" s="119">
        <v>2104</v>
      </c>
      <c r="Y87" s="111"/>
      <c r="Z87" s="118">
        <v>1.3</v>
      </c>
      <c r="AA87" s="111"/>
      <c r="AB87" s="117" t="str">
        <f>VLOOKUP(O87,{"甲级","1.2";"乙级","1.0";"丙级","0.8"},2,0)</f>
        <v>1.2</v>
      </c>
      <c r="AC87" s="111"/>
      <c r="AD87" s="130">
        <f t="shared" si="25"/>
        <v>-2104</v>
      </c>
      <c r="AE87" s="130">
        <f t="shared" si="26"/>
        <v>-1.3</v>
      </c>
      <c r="AF87" s="130">
        <f t="shared" si="27"/>
        <v>-1.2</v>
      </c>
      <c r="AG87" s="131"/>
      <c r="AH87" s="131"/>
      <c r="AI87" s="131"/>
      <c r="AJ87" s="131"/>
      <c r="AK87" s="131"/>
      <c r="AL87" s="131"/>
      <c r="AM87" s="131"/>
      <c r="AN87" s="131"/>
      <c r="AO87" s="131"/>
    </row>
    <row r="88" spans="1:41" s="47" customFormat="1" ht="14.4" x14ac:dyDescent="0.25">
      <c r="A88" s="14">
        <v>84</v>
      </c>
      <c r="B88" s="206"/>
      <c r="C88" s="209"/>
      <c r="D88" s="210" t="s">
        <v>172</v>
      </c>
      <c r="E88" s="89" t="s">
        <v>173</v>
      </c>
      <c r="F88" s="14"/>
      <c r="G88" s="17" t="s">
        <v>170</v>
      </c>
      <c r="H88" s="162"/>
      <c r="I88" s="17"/>
      <c r="J88" s="17"/>
      <c r="K88" s="17"/>
      <c r="L88" s="17"/>
      <c r="M88" s="163"/>
      <c r="N88" s="165">
        <f t="shared" si="31"/>
        <v>0</v>
      </c>
      <c r="O88" s="14" t="s">
        <v>103</v>
      </c>
      <c r="P88" s="38"/>
      <c r="Q88" s="165">
        <f t="shared" si="32"/>
        <v>0</v>
      </c>
      <c r="R88" s="165">
        <f t="shared" si="33"/>
        <v>0</v>
      </c>
      <c r="S88" s="17" t="s">
        <v>160</v>
      </c>
      <c r="T88" s="17"/>
      <c r="U88" s="104"/>
      <c r="W88" s="154"/>
      <c r="X88" s="119">
        <v>409</v>
      </c>
      <c r="Y88" s="111"/>
      <c r="Z88" s="118">
        <v>1.3</v>
      </c>
      <c r="AA88" s="111"/>
      <c r="AB88" s="117" t="str">
        <f>VLOOKUP(O88,{"甲级","1.2";"乙级","1.0";"丙级","0.8"},2,0)</f>
        <v>1.2</v>
      </c>
      <c r="AC88" s="111"/>
      <c r="AD88" s="130">
        <f t="shared" si="25"/>
        <v>-409</v>
      </c>
      <c r="AE88" s="130">
        <f t="shared" si="26"/>
        <v>-1.3</v>
      </c>
      <c r="AF88" s="130">
        <f t="shared" si="27"/>
        <v>-1.2</v>
      </c>
      <c r="AG88" s="131"/>
      <c r="AH88" s="131"/>
      <c r="AI88" s="131"/>
      <c r="AJ88" s="131"/>
      <c r="AK88" s="131"/>
      <c r="AL88" s="131"/>
      <c r="AM88" s="131"/>
      <c r="AN88" s="131"/>
      <c r="AO88" s="131"/>
    </row>
    <row r="89" spans="1:41" s="47" customFormat="1" ht="14.4" x14ac:dyDescent="0.25">
      <c r="A89" s="14">
        <v>85</v>
      </c>
      <c r="B89" s="206"/>
      <c r="C89" s="209"/>
      <c r="D89" s="210"/>
      <c r="E89" s="89" t="s">
        <v>174</v>
      </c>
      <c r="F89" s="14"/>
      <c r="G89" s="17" t="s">
        <v>170</v>
      </c>
      <c r="H89" s="162"/>
      <c r="I89" s="17"/>
      <c r="J89" s="17"/>
      <c r="K89" s="17"/>
      <c r="L89" s="17"/>
      <c r="M89" s="163"/>
      <c r="N89" s="165">
        <f t="shared" si="31"/>
        <v>0</v>
      </c>
      <c r="O89" s="14" t="s">
        <v>103</v>
      </c>
      <c r="P89" s="38"/>
      <c r="Q89" s="165">
        <f t="shared" si="32"/>
        <v>0</v>
      </c>
      <c r="R89" s="165">
        <f t="shared" si="33"/>
        <v>0</v>
      </c>
      <c r="S89" s="17" t="s">
        <v>160</v>
      </c>
      <c r="T89" s="17"/>
      <c r="U89" s="104"/>
      <c r="W89" s="154"/>
      <c r="X89" s="119">
        <v>205</v>
      </c>
      <c r="Y89" s="111"/>
      <c r="Z89" s="118">
        <v>1.3</v>
      </c>
      <c r="AA89" s="111"/>
      <c r="AB89" s="117" t="str">
        <f>VLOOKUP(O89,{"甲级","1.2";"乙级","1.0";"丙级","0.8"},2,0)</f>
        <v>1.2</v>
      </c>
      <c r="AC89" s="111"/>
      <c r="AD89" s="130">
        <f t="shared" si="25"/>
        <v>-205</v>
      </c>
      <c r="AE89" s="130">
        <f t="shared" si="26"/>
        <v>-1.3</v>
      </c>
      <c r="AF89" s="130">
        <f t="shared" si="27"/>
        <v>-1.2</v>
      </c>
      <c r="AG89" s="131"/>
      <c r="AH89" s="131"/>
      <c r="AI89" s="131"/>
      <c r="AJ89" s="131"/>
      <c r="AK89" s="131"/>
      <c r="AL89" s="131"/>
      <c r="AM89" s="131"/>
      <c r="AN89" s="131"/>
      <c r="AO89" s="131"/>
    </row>
    <row r="90" spans="1:41" s="47" customFormat="1" ht="84" x14ac:dyDescent="0.25">
      <c r="A90" s="14">
        <v>86</v>
      </c>
      <c r="B90" s="206"/>
      <c r="C90" s="11" t="s">
        <v>175</v>
      </c>
      <c r="D90" s="37"/>
      <c r="E90" s="89" t="s">
        <v>176</v>
      </c>
      <c r="F90" s="14"/>
      <c r="G90" s="17" t="s">
        <v>177</v>
      </c>
      <c r="H90" s="162"/>
      <c r="I90" s="17"/>
      <c r="J90" s="17"/>
      <c r="K90" s="17"/>
      <c r="L90" s="17"/>
      <c r="M90" s="163"/>
      <c r="N90" s="165">
        <f t="shared" si="31"/>
        <v>0</v>
      </c>
      <c r="O90" s="14" t="s">
        <v>50</v>
      </c>
      <c r="P90" s="38"/>
      <c r="Q90" s="165">
        <f t="shared" si="32"/>
        <v>0</v>
      </c>
      <c r="R90" s="165">
        <f t="shared" si="33"/>
        <v>0</v>
      </c>
      <c r="S90" s="17" t="s">
        <v>178</v>
      </c>
      <c r="T90" s="17"/>
      <c r="U90" s="104"/>
      <c r="W90" s="154"/>
      <c r="X90" s="119">
        <v>840</v>
      </c>
      <c r="Y90" s="111"/>
      <c r="Z90" s="118">
        <v>1</v>
      </c>
      <c r="AA90" s="111"/>
      <c r="AB90" s="117" t="str">
        <f>VLOOKUP(O90,{"简单","0.27";"中等","0.30";"复杂","0.33"},2,0)</f>
        <v>0.33</v>
      </c>
      <c r="AC90" s="110" t="s">
        <v>491</v>
      </c>
      <c r="AD90" s="130">
        <f t="shared" si="25"/>
        <v>-840</v>
      </c>
      <c r="AE90" s="130">
        <f t="shared" si="26"/>
        <v>-1</v>
      </c>
      <c r="AF90" s="130">
        <f t="shared" si="27"/>
        <v>-0.33</v>
      </c>
      <c r="AG90" s="131"/>
      <c r="AH90" s="131"/>
      <c r="AI90" s="131"/>
      <c r="AJ90" s="131"/>
      <c r="AK90" s="131"/>
      <c r="AL90" s="131"/>
      <c r="AM90" s="131"/>
      <c r="AN90" s="131"/>
      <c r="AO90" s="131"/>
    </row>
    <row r="91" spans="1:41" s="47" customFormat="1" ht="14.4" x14ac:dyDescent="0.25">
      <c r="A91" s="14">
        <v>87</v>
      </c>
      <c r="B91" s="206"/>
      <c r="C91" s="209" t="s">
        <v>179</v>
      </c>
      <c r="D91" s="216" t="s">
        <v>180</v>
      </c>
      <c r="E91" s="216"/>
      <c r="F91" s="14"/>
      <c r="G91" s="17" t="s">
        <v>177</v>
      </c>
      <c r="H91" s="162"/>
      <c r="I91" s="17">
        <v>32</v>
      </c>
      <c r="J91" s="17"/>
      <c r="K91" s="17"/>
      <c r="L91" s="17"/>
      <c r="M91" s="163"/>
      <c r="N91" s="165">
        <f t="shared" si="31"/>
        <v>0</v>
      </c>
      <c r="O91" s="14" t="s">
        <v>50</v>
      </c>
      <c r="P91" s="38"/>
      <c r="Q91" s="165">
        <f t="shared" si="32"/>
        <v>0</v>
      </c>
      <c r="R91" s="165">
        <f t="shared" si="33"/>
        <v>0</v>
      </c>
      <c r="S91" s="17" t="s">
        <v>178</v>
      </c>
      <c r="T91" s="17"/>
      <c r="U91" s="104"/>
      <c r="W91" s="154"/>
      <c r="X91" s="119">
        <v>170</v>
      </c>
      <c r="Y91" s="111"/>
      <c r="Z91" s="118">
        <v>1</v>
      </c>
      <c r="AA91" s="111"/>
      <c r="AB91" s="117" t="str">
        <f>VLOOKUP(O91,{"简单","0.27";"中等","0.30";"复杂","0.33"},2,0)</f>
        <v>0.33</v>
      </c>
      <c r="AC91" s="111"/>
      <c r="AD91" s="130">
        <f t="shared" si="25"/>
        <v>-170</v>
      </c>
      <c r="AE91" s="130">
        <f t="shared" si="26"/>
        <v>-1</v>
      </c>
      <c r="AF91" s="130">
        <f t="shared" si="27"/>
        <v>-0.33</v>
      </c>
      <c r="AG91" s="131"/>
      <c r="AH91" s="131"/>
      <c r="AI91" s="131"/>
      <c r="AJ91" s="131"/>
      <c r="AK91" s="131"/>
      <c r="AL91" s="131"/>
      <c r="AM91" s="131"/>
      <c r="AN91" s="131"/>
      <c r="AO91" s="131"/>
    </row>
    <row r="92" spans="1:41" s="47" customFormat="1" ht="14.4" x14ac:dyDescent="0.25">
      <c r="A92" s="14">
        <v>88</v>
      </c>
      <c r="B92" s="206"/>
      <c r="C92" s="209"/>
      <c r="D92" s="213" t="s">
        <v>359</v>
      </c>
      <c r="E92" s="89" t="s">
        <v>181</v>
      </c>
      <c r="F92" s="14"/>
      <c r="G92" s="17" t="s">
        <v>159</v>
      </c>
      <c r="H92" s="162"/>
      <c r="I92" s="17"/>
      <c r="J92" s="17"/>
      <c r="K92" s="17"/>
      <c r="L92" s="17"/>
      <c r="M92" s="163"/>
      <c r="N92" s="165">
        <f t="shared" si="31"/>
        <v>0</v>
      </c>
      <c r="O92" s="14" t="s">
        <v>50</v>
      </c>
      <c r="P92" s="38"/>
      <c r="Q92" s="165">
        <f t="shared" si="32"/>
        <v>0</v>
      </c>
      <c r="R92" s="165">
        <f t="shared" si="33"/>
        <v>0</v>
      </c>
      <c r="S92" s="17" t="s">
        <v>178</v>
      </c>
      <c r="T92" s="17"/>
      <c r="U92" s="104"/>
      <c r="W92" s="154"/>
      <c r="X92" s="119">
        <v>20</v>
      </c>
      <c r="Y92" s="111"/>
      <c r="Z92" s="118">
        <v>1</v>
      </c>
      <c r="AA92" s="111"/>
      <c r="AB92" s="117" t="str">
        <f>VLOOKUP(O92,{"简单","0.27";"中等","0.30";"复杂","0.33"},2,0)</f>
        <v>0.33</v>
      </c>
      <c r="AC92" s="111"/>
      <c r="AD92" s="130">
        <f t="shared" si="25"/>
        <v>-20</v>
      </c>
      <c r="AE92" s="130">
        <f t="shared" si="26"/>
        <v>-1</v>
      </c>
      <c r="AF92" s="130">
        <f t="shared" si="27"/>
        <v>-0.33</v>
      </c>
      <c r="AG92" s="131"/>
      <c r="AH92" s="131"/>
      <c r="AI92" s="131"/>
      <c r="AJ92" s="131"/>
      <c r="AK92" s="131"/>
      <c r="AL92" s="131"/>
      <c r="AM92" s="131"/>
      <c r="AN92" s="131"/>
      <c r="AO92" s="131"/>
    </row>
    <row r="93" spans="1:41" s="47" customFormat="1" ht="14.4" x14ac:dyDescent="0.25">
      <c r="A93" s="14">
        <v>89</v>
      </c>
      <c r="B93" s="206"/>
      <c r="C93" s="209"/>
      <c r="D93" s="213"/>
      <c r="E93" s="89" t="s">
        <v>182</v>
      </c>
      <c r="F93" s="14"/>
      <c r="G93" s="17" t="s">
        <v>159</v>
      </c>
      <c r="H93" s="162"/>
      <c r="I93" s="17"/>
      <c r="J93" s="17"/>
      <c r="K93" s="17"/>
      <c r="L93" s="17"/>
      <c r="M93" s="163"/>
      <c r="N93" s="165">
        <f t="shared" si="31"/>
        <v>0</v>
      </c>
      <c r="O93" s="14" t="s">
        <v>50</v>
      </c>
      <c r="P93" s="38"/>
      <c r="Q93" s="165">
        <f t="shared" si="32"/>
        <v>0</v>
      </c>
      <c r="R93" s="165">
        <f t="shared" si="33"/>
        <v>0</v>
      </c>
      <c r="S93" s="17" t="s">
        <v>178</v>
      </c>
      <c r="T93" s="17"/>
      <c r="U93" s="104"/>
      <c r="W93" s="154"/>
      <c r="X93" s="119">
        <v>40</v>
      </c>
      <c r="Y93" s="111"/>
      <c r="Z93" s="118">
        <v>1</v>
      </c>
      <c r="AA93" s="111"/>
      <c r="AB93" s="117" t="str">
        <f>VLOOKUP(O93,{"简单","0.27";"中等","0.30";"复杂","0.33"},2,0)</f>
        <v>0.33</v>
      </c>
      <c r="AC93" s="111"/>
      <c r="AD93" s="130">
        <f t="shared" si="25"/>
        <v>-40</v>
      </c>
      <c r="AE93" s="130">
        <f t="shared" si="26"/>
        <v>-1</v>
      </c>
      <c r="AF93" s="130">
        <f t="shared" si="27"/>
        <v>-0.33</v>
      </c>
      <c r="AG93" s="131"/>
      <c r="AH93" s="131"/>
      <c r="AI93" s="131"/>
      <c r="AJ93" s="131"/>
      <c r="AK93" s="131"/>
      <c r="AL93" s="131"/>
      <c r="AM93" s="131"/>
      <c r="AN93" s="131"/>
      <c r="AO93" s="131"/>
    </row>
    <row r="94" spans="1:41" s="47" customFormat="1" ht="14.4" x14ac:dyDescent="0.25">
      <c r="A94" s="14">
        <v>90</v>
      </c>
      <c r="B94" s="207"/>
      <c r="C94" s="209"/>
      <c r="D94" s="213"/>
      <c r="E94" s="89" t="s">
        <v>183</v>
      </c>
      <c r="F94" s="14"/>
      <c r="G94" s="17" t="s">
        <v>159</v>
      </c>
      <c r="H94" s="162"/>
      <c r="I94" s="17"/>
      <c r="J94" s="17"/>
      <c r="K94" s="17"/>
      <c r="L94" s="17"/>
      <c r="M94" s="163"/>
      <c r="N94" s="165">
        <f t="shared" si="31"/>
        <v>0</v>
      </c>
      <c r="O94" s="14" t="s">
        <v>50</v>
      </c>
      <c r="P94" s="38"/>
      <c r="Q94" s="165">
        <f t="shared" si="32"/>
        <v>0</v>
      </c>
      <c r="R94" s="165">
        <f t="shared" si="33"/>
        <v>0</v>
      </c>
      <c r="S94" s="17" t="s">
        <v>178</v>
      </c>
      <c r="T94" s="17"/>
      <c r="U94" s="104"/>
      <c r="W94" s="154"/>
      <c r="X94" s="119">
        <v>50</v>
      </c>
      <c r="Y94" s="111"/>
      <c r="Z94" s="118">
        <v>1</v>
      </c>
      <c r="AA94" s="111"/>
      <c r="AB94" s="117" t="str">
        <f>VLOOKUP(O94,{"简单","0.27";"中等","0.30";"复杂","0.33"},2,0)</f>
        <v>0.33</v>
      </c>
      <c r="AC94" s="111"/>
      <c r="AD94" s="130">
        <f t="shared" si="25"/>
        <v>-50</v>
      </c>
      <c r="AE94" s="130">
        <f t="shared" si="26"/>
        <v>-1</v>
      </c>
      <c r="AF94" s="130">
        <f t="shared" si="27"/>
        <v>-0.33</v>
      </c>
      <c r="AG94" s="131"/>
      <c r="AH94" s="131"/>
      <c r="AI94" s="131"/>
      <c r="AJ94" s="131"/>
      <c r="AK94" s="131"/>
      <c r="AL94" s="131"/>
      <c r="AM94" s="131"/>
      <c r="AN94" s="131"/>
      <c r="AO94" s="131"/>
    </row>
    <row r="95" spans="1:41" s="47" customFormat="1" ht="48" x14ac:dyDescent="0.25">
      <c r="A95" s="14">
        <v>91</v>
      </c>
      <c r="B95" s="209" t="s">
        <v>352</v>
      </c>
      <c r="C95" s="220" t="s">
        <v>184</v>
      </c>
      <c r="D95" s="214" t="s">
        <v>185</v>
      </c>
      <c r="E95" s="89" t="s">
        <v>186</v>
      </c>
      <c r="F95" s="14" t="s">
        <v>46</v>
      </c>
      <c r="G95" s="145" t="s">
        <v>383</v>
      </c>
      <c r="H95" s="38"/>
      <c r="I95" s="17"/>
      <c r="J95" s="17"/>
      <c r="K95" s="17"/>
      <c r="L95" s="17"/>
      <c r="M95" s="163"/>
      <c r="N95" s="165">
        <f t="shared" si="31"/>
        <v>0</v>
      </c>
      <c r="O95" s="14" t="s">
        <v>187</v>
      </c>
      <c r="P95" s="38"/>
      <c r="Q95" s="165">
        <f t="shared" si="32"/>
        <v>0</v>
      </c>
      <c r="R95" s="165">
        <f t="shared" si="33"/>
        <v>0</v>
      </c>
      <c r="S95" s="17" t="s">
        <v>188</v>
      </c>
      <c r="T95" s="17"/>
      <c r="U95" s="104"/>
      <c r="W95" s="154"/>
      <c r="X95" s="119" t="str">
        <f>VLOOKUP(F95,{"简单","54600";"中等","78100";"复杂","109300"},2,0)</f>
        <v>78100</v>
      </c>
      <c r="Y95" s="111"/>
      <c r="Z95" s="118">
        <v>1</v>
      </c>
      <c r="AA95" s="111"/>
      <c r="AB95" s="117">
        <v>0.22</v>
      </c>
      <c r="AC95" s="110" t="s">
        <v>492</v>
      </c>
      <c r="AD95" s="130">
        <f t="shared" si="25"/>
        <v>-78100</v>
      </c>
      <c r="AE95" s="130">
        <f t="shared" si="26"/>
        <v>-1</v>
      </c>
      <c r="AF95" s="130">
        <f t="shared" si="27"/>
        <v>-0.22</v>
      </c>
      <c r="AG95" s="131"/>
      <c r="AH95" s="131"/>
      <c r="AI95" s="131"/>
      <c r="AJ95" s="131"/>
      <c r="AK95" s="131"/>
      <c r="AL95" s="131"/>
      <c r="AM95" s="131"/>
      <c r="AN95" s="131"/>
      <c r="AO95" s="131"/>
    </row>
    <row r="96" spans="1:41" s="47" customFormat="1" ht="24" x14ac:dyDescent="0.25">
      <c r="A96" s="14">
        <v>92</v>
      </c>
      <c r="B96" s="209"/>
      <c r="C96" s="220"/>
      <c r="D96" s="215"/>
      <c r="E96" s="89" t="s">
        <v>189</v>
      </c>
      <c r="F96" s="14" t="s">
        <v>46</v>
      </c>
      <c r="G96" s="145" t="s">
        <v>383</v>
      </c>
      <c r="H96" s="38"/>
      <c r="I96" s="17">
        <v>1</v>
      </c>
      <c r="J96" s="17"/>
      <c r="K96" s="17"/>
      <c r="L96" s="17"/>
      <c r="M96" s="163"/>
      <c r="N96" s="165">
        <f t="shared" si="31"/>
        <v>0</v>
      </c>
      <c r="O96" s="14" t="s">
        <v>187</v>
      </c>
      <c r="P96" s="38"/>
      <c r="Q96" s="165">
        <f t="shared" si="32"/>
        <v>0</v>
      </c>
      <c r="R96" s="165">
        <f t="shared" si="33"/>
        <v>0</v>
      </c>
      <c r="S96" s="17" t="s">
        <v>188</v>
      </c>
      <c r="T96" s="17"/>
      <c r="U96" s="104"/>
      <c r="W96" s="154"/>
      <c r="X96" s="119" t="str">
        <f>VLOOKUP(F96,{"简单","6900";"中等","9900";"复杂","13900"},2,0)</f>
        <v>9900</v>
      </c>
      <c r="Y96" s="111"/>
      <c r="Z96" s="118">
        <v>1</v>
      </c>
      <c r="AA96" s="111"/>
      <c r="AB96" s="117">
        <v>0.22</v>
      </c>
      <c r="AC96" s="111"/>
      <c r="AD96" s="130">
        <f t="shared" si="25"/>
        <v>-9900</v>
      </c>
      <c r="AE96" s="130">
        <f t="shared" si="26"/>
        <v>-1</v>
      </c>
      <c r="AF96" s="130">
        <f t="shared" si="27"/>
        <v>-0.22</v>
      </c>
      <c r="AG96" s="131"/>
      <c r="AH96" s="131"/>
      <c r="AI96" s="131"/>
      <c r="AJ96" s="131"/>
      <c r="AK96" s="131"/>
      <c r="AL96" s="131"/>
      <c r="AM96" s="131"/>
      <c r="AN96" s="131"/>
      <c r="AO96" s="131"/>
    </row>
    <row r="97" spans="1:41" s="47" customFormat="1" ht="24" x14ac:dyDescent="0.25">
      <c r="A97" s="14">
        <v>93</v>
      </c>
      <c r="B97" s="209"/>
      <c r="C97" s="146" t="s">
        <v>190</v>
      </c>
      <c r="D97" s="144" t="s">
        <v>191</v>
      </c>
      <c r="E97" s="89" t="s">
        <v>192</v>
      </c>
      <c r="F97" s="14" t="s">
        <v>46</v>
      </c>
      <c r="G97" s="145" t="s">
        <v>193</v>
      </c>
      <c r="H97" s="38"/>
      <c r="I97" s="17">
        <v>1</v>
      </c>
      <c r="J97" s="17"/>
      <c r="K97" s="17"/>
      <c r="L97" s="17"/>
      <c r="M97" s="163"/>
      <c r="N97" s="165">
        <f t="shared" si="31"/>
        <v>0</v>
      </c>
      <c r="O97" s="14" t="s">
        <v>187</v>
      </c>
      <c r="P97" s="38"/>
      <c r="Q97" s="165">
        <f t="shared" si="32"/>
        <v>0</v>
      </c>
      <c r="R97" s="165">
        <f t="shared" si="33"/>
        <v>0</v>
      </c>
      <c r="S97" s="17" t="s">
        <v>188</v>
      </c>
      <c r="T97" s="17"/>
      <c r="U97" s="104"/>
      <c r="W97" s="154"/>
      <c r="X97" s="119" t="str">
        <f>VLOOKUP(F97,{"简单","12400";"中等","17800";"复杂","24800"},2,0)</f>
        <v>17800</v>
      </c>
      <c r="Y97" s="111"/>
      <c r="Z97" s="118">
        <v>1</v>
      </c>
      <c r="AA97" s="111"/>
      <c r="AB97" s="117">
        <v>0.22</v>
      </c>
      <c r="AC97" s="111"/>
      <c r="AD97" s="130">
        <f t="shared" si="25"/>
        <v>-17800</v>
      </c>
      <c r="AE97" s="130">
        <f t="shared" si="26"/>
        <v>-1</v>
      </c>
      <c r="AF97" s="130">
        <f t="shared" si="27"/>
        <v>-0.22</v>
      </c>
      <c r="AG97" s="131"/>
      <c r="AH97" s="131"/>
      <c r="AI97" s="131"/>
      <c r="AJ97" s="131"/>
      <c r="AK97" s="131"/>
      <c r="AL97" s="131"/>
      <c r="AM97" s="131"/>
      <c r="AN97" s="131"/>
      <c r="AO97" s="131"/>
    </row>
    <row r="98" spans="1:41" s="47" customFormat="1" ht="96" x14ac:dyDescent="0.25">
      <c r="A98" s="14">
        <v>94</v>
      </c>
      <c r="B98" s="209" t="s">
        <v>353</v>
      </c>
      <c r="C98" s="219" t="s">
        <v>360</v>
      </c>
      <c r="D98" s="208" t="s">
        <v>194</v>
      </c>
      <c r="E98" s="208"/>
      <c r="F98" s="208"/>
      <c r="G98" s="17" t="s">
        <v>195</v>
      </c>
      <c r="H98" s="167"/>
      <c r="I98" s="17">
        <v>2728</v>
      </c>
      <c r="J98" s="17"/>
      <c r="K98" s="17"/>
      <c r="L98" s="17"/>
      <c r="M98" s="163"/>
      <c r="N98" s="165">
        <f t="shared" ref="N98:N113" si="34">H98*I98*M98</f>
        <v>0</v>
      </c>
      <c r="O98" s="14" t="s">
        <v>196</v>
      </c>
      <c r="P98" s="38"/>
      <c r="Q98" s="165">
        <f t="shared" ref="Q98:Q113" si="35">N98*P98</f>
        <v>0</v>
      </c>
      <c r="R98" s="165">
        <f t="shared" ref="R98:R113" si="36">N98+Q98</f>
        <v>0</v>
      </c>
      <c r="S98" s="17" t="s">
        <v>197</v>
      </c>
      <c r="T98" s="17" t="s">
        <v>198</v>
      </c>
      <c r="U98" s="104"/>
      <c r="W98" s="154"/>
      <c r="X98" s="119">
        <v>18</v>
      </c>
      <c r="Y98" s="111"/>
      <c r="Z98" s="118">
        <v>1.7</v>
      </c>
      <c r="AA98" s="111"/>
      <c r="AB98" s="117" t="str">
        <f>VLOOKUP(O98,{"甲级","1.2";"乙级","1";"丙级","0.8";"物探","0.22"},2,0)</f>
        <v>0.22</v>
      </c>
      <c r="AC98" s="110" t="s">
        <v>493</v>
      </c>
      <c r="AD98" s="130">
        <f t="shared" si="25"/>
        <v>-18</v>
      </c>
      <c r="AE98" s="130">
        <f t="shared" si="26"/>
        <v>-1.7</v>
      </c>
      <c r="AF98" s="130">
        <f t="shared" si="27"/>
        <v>-0.22</v>
      </c>
      <c r="AG98" s="131"/>
      <c r="AH98" s="131"/>
      <c r="AI98" s="131"/>
      <c r="AJ98" s="131"/>
      <c r="AK98" s="131"/>
      <c r="AL98" s="131"/>
      <c r="AM98" s="131"/>
      <c r="AN98" s="131"/>
      <c r="AO98" s="131"/>
    </row>
    <row r="99" spans="1:41" s="47" customFormat="1" ht="24" x14ac:dyDescent="0.25">
      <c r="A99" s="14">
        <v>95</v>
      </c>
      <c r="B99" s="209"/>
      <c r="C99" s="219"/>
      <c r="D99" s="210" t="s">
        <v>199</v>
      </c>
      <c r="E99" s="144" t="s">
        <v>200</v>
      </c>
      <c r="F99" s="144"/>
      <c r="G99" s="17" t="s">
        <v>525</v>
      </c>
      <c r="H99" s="167"/>
      <c r="I99" s="17"/>
      <c r="J99" s="17"/>
      <c r="K99" s="17"/>
      <c r="L99" s="17"/>
      <c r="M99" s="163"/>
      <c r="N99" s="165">
        <f t="shared" si="34"/>
        <v>0</v>
      </c>
      <c r="O99" s="14" t="s">
        <v>196</v>
      </c>
      <c r="P99" s="38"/>
      <c r="Q99" s="165">
        <f t="shared" si="35"/>
        <v>0</v>
      </c>
      <c r="R99" s="165">
        <f t="shared" si="36"/>
        <v>0</v>
      </c>
      <c r="S99" s="17" t="s">
        <v>197</v>
      </c>
      <c r="T99" s="17"/>
      <c r="U99" s="104"/>
      <c r="W99" s="154"/>
      <c r="X99" s="119">
        <v>25</v>
      </c>
      <c r="Y99" s="111"/>
      <c r="Z99" s="118">
        <v>1</v>
      </c>
      <c r="AA99" s="111"/>
      <c r="AB99" s="117" t="str">
        <f>VLOOKUP(O99,{"甲级","1.2";"乙级","1";"丙级","0.8";"物探","0.22"},2,0)</f>
        <v>0.22</v>
      </c>
      <c r="AC99" s="111"/>
      <c r="AD99" s="130">
        <f t="shared" si="25"/>
        <v>-25</v>
      </c>
      <c r="AE99" s="130">
        <f t="shared" si="26"/>
        <v>-1</v>
      </c>
      <c r="AF99" s="130">
        <f t="shared" si="27"/>
        <v>-0.22</v>
      </c>
      <c r="AG99" s="131"/>
      <c r="AH99" s="131"/>
      <c r="AI99" s="131"/>
      <c r="AJ99" s="131"/>
      <c r="AK99" s="131"/>
      <c r="AL99" s="131"/>
      <c r="AM99" s="131"/>
      <c r="AN99" s="131"/>
      <c r="AO99" s="131"/>
    </row>
    <row r="100" spans="1:41" s="47" customFormat="1" ht="24" x14ac:dyDescent="0.25">
      <c r="A100" s="14">
        <v>96</v>
      </c>
      <c r="B100" s="209"/>
      <c r="C100" s="219"/>
      <c r="D100" s="210"/>
      <c r="E100" s="213" t="s">
        <v>361</v>
      </c>
      <c r="F100" s="89" t="s">
        <v>201</v>
      </c>
      <c r="G100" s="17" t="s">
        <v>195</v>
      </c>
      <c r="H100" s="167"/>
      <c r="I100" s="17"/>
      <c r="J100" s="17"/>
      <c r="K100" s="17"/>
      <c r="L100" s="17"/>
      <c r="M100" s="163"/>
      <c r="N100" s="165">
        <f t="shared" si="34"/>
        <v>0</v>
      </c>
      <c r="O100" s="14" t="s">
        <v>196</v>
      </c>
      <c r="P100" s="38"/>
      <c r="Q100" s="165">
        <f t="shared" si="35"/>
        <v>0</v>
      </c>
      <c r="R100" s="165">
        <f t="shared" si="36"/>
        <v>0</v>
      </c>
      <c r="S100" s="17" t="s">
        <v>197</v>
      </c>
      <c r="T100" s="17"/>
      <c r="U100" s="104"/>
      <c r="W100" s="154"/>
      <c r="X100" s="119">
        <v>45</v>
      </c>
      <c r="Y100" s="111"/>
      <c r="Z100" s="118">
        <v>1</v>
      </c>
      <c r="AA100" s="111"/>
      <c r="AB100" s="117" t="str">
        <f>VLOOKUP(O100,{"甲级","1.2";"乙级","1";"丙级","0.8";"物探","0.22"},2,0)</f>
        <v>0.22</v>
      </c>
      <c r="AC100" s="111"/>
      <c r="AD100" s="130">
        <f t="shared" si="25"/>
        <v>-45</v>
      </c>
      <c r="AE100" s="130">
        <f t="shared" si="26"/>
        <v>-1</v>
      </c>
      <c r="AF100" s="130">
        <f t="shared" si="27"/>
        <v>-0.22</v>
      </c>
      <c r="AG100" s="131"/>
      <c r="AH100" s="131"/>
      <c r="AI100" s="131"/>
      <c r="AJ100" s="131"/>
      <c r="AK100" s="131"/>
      <c r="AL100" s="131"/>
      <c r="AM100" s="131"/>
      <c r="AN100" s="131"/>
      <c r="AO100" s="131"/>
    </row>
    <row r="101" spans="1:41" s="47" customFormat="1" ht="24" x14ac:dyDescent="0.25">
      <c r="A101" s="14">
        <v>97</v>
      </c>
      <c r="B101" s="209"/>
      <c r="C101" s="219"/>
      <c r="D101" s="210"/>
      <c r="E101" s="213"/>
      <c r="F101" s="89" t="s">
        <v>202</v>
      </c>
      <c r="G101" s="17" t="s">
        <v>195</v>
      </c>
      <c r="H101" s="167"/>
      <c r="I101" s="17"/>
      <c r="J101" s="17"/>
      <c r="K101" s="17"/>
      <c r="L101" s="17"/>
      <c r="M101" s="163"/>
      <c r="N101" s="165">
        <f t="shared" si="34"/>
        <v>0</v>
      </c>
      <c r="O101" s="14" t="s">
        <v>196</v>
      </c>
      <c r="P101" s="38"/>
      <c r="Q101" s="165">
        <f t="shared" si="35"/>
        <v>0</v>
      </c>
      <c r="R101" s="165">
        <f t="shared" si="36"/>
        <v>0</v>
      </c>
      <c r="S101" s="17" t="s">
        <v>197</v>
      </c>
      <c r="T101" s="17"/>
      <c r="U101" s="104"/>
      <c r="W101" s="154"/>
      <c r="X101" s="119">
        <v>220</v>
      </c>
      <c r="Y101" s="111"/>
      <c r="Z101" s="118">
        <v>1</v>
      </c>
      <c r="AA101" s="111"/>
      <c r="AB101" s="117" t="str">
        <f>VLOOKUP(O101,{"甲级","1.2";"乙级","1";"丙级","0.8";"物探","0.22"},2,0)</f>
        <v>0.22</v>
      </c>
      <c r="AC101" s="111"/>
      <c r="AD101" s="130">
        <f t="shared" si="25"/>
        <v>-220</v>
      </c>
      <c r="AE101" s="130">
        <f t="shared" si="26"/>
        <v>-1</v>
      </c>
      <c r="AF101" s="130">
        <f t="shared" si="27"/>
        <v>-0.22</v>
      </c>
      <c r="AG101" s="131"/>
      <c r="AH101" s="131"/>
      <c r="AI101" s="131"/>
      <c r="AJ101" s="131"/>
      <c r="AK101" s="131"/>
      <c r="AL101" s="131"/>
      <c r="AM101" s="131"/>
      <c r="AN101" s="131"/>
      <c r="AO101" s="131"/>
    </row>
    <row r="102" spans="1:41" s="47" customFormat="1" ht="24" x14ac:dyDescent="0.25">
      <c r="A102" s="14">
        <v>98</v>
      </c>
      <c r="B102" s="209"/>
      <c r="C102" s="219"/>
      <c r="D102" s="210"/>
      <c r="E102" s="213" t="s">
        <v>362</v>
      </c>
      <c r="F102" s="89" t="s">
        <v>201</v>
      </c>
      <c r="G102" s="17" t="s">
        <v>195</v>
      </c>
      <c r="H102" s="167"/>
      <c r="I102" s="17"/>
      <c r="J102" s="17"/>
      <c r="K102" s="17"/>
      <c r="L102" s="17"/>
      <c r="M102" s="163"/>
      <c r="N102" s="165">
        <f t="shared" si="34"/>
        <v>0</v>
      </c>
      <c r="O102" s="14" t="s">
        <v>196</v>
      </c>
      <c r="P102" s="38"/>
      <c r="Q102" s="165">
        <f t="shared" si="35"/>
        <v>0</v>
      </c>
      <c r="R102" s="165">
        <f t="shared" si="36"/>
        <v>0</v>
      </c>
      <c r="S102" s="17" t="s">
        <v>197</v>
      </c>
      <c r="T102" s="17"/>
      <c r="U102" s="104"/>
      <c r="W102" s="154"/>
      <c r="X102" s="119">
        <v>130</v>
      </c>
      <c r="Y102" s="111"/>
      <c r="Z102" s="118">
        <v>1</v>
      </c>
      <c r="AA102" s="111"/>
      <c r="AB102" s="117" t="str">
        <f>VLOOKUP(O102,{"甲级","1.2";"乙级","1";"丙级","0.8";"物探","0.22"},2,0)</f>
        <v>0.22</v>
      </c>
      <c r="AC102" s="111"/>
      <c r="AD102" s="130">
        <f t="shared" si="25"/>
        <v>-130</v>
      </c>
      <c r="AE102" s="130">
        <f t="shared" si="26"/>
        <v>-1</v>
      </c>
      <c r="AF102" s="130">
        <f t="shared" si="27"/>
        <v>-0.22</v>
      </c>
      <c r="AG102" s="131"/>
      <c r="AH102" s="131"/>
      <c r="AI102" s="131"/>
      <c r="AJ102" s="131"/>
      <c r="AK102" s="131"/>
      <c r="AL102" s="131"/>
      <c r="AM102" s="131"/>
      <c r="AN102" s="131"/>
      <c r="AO102" s="131"/>
    </row>
    <row r="103" spans="1:41" s="47" customFormat="1" ht="24" x14ac:dyDescent="0.25">
      <c r="A103" s="14">
        <v>99</v>
      </c>
      <c r="B103" s="209"/>
      <c r="C103" s="219"/>
      <c r="D103" s="210"/>
      <c r="E103" s="213"/>
      <c r="F103" s="89" t="s">
        <v>202</v>
      </c>
      <c r="G103" s="17" t="s">
        <v>195</v>
      </c>
      <c r="H103" s="167"/>
      <c r="I103" s="17"/>
      <c r="J103" s="17"/>
      <c r="K103" s="17"/>
      <c r="L103" s="17"/>
      <c r="M103" s="163"/>
      <c r="N103" s="165">
        <f t="shared" si="34"/>
        <v>0</v>
      </c>
      <c r="O103" s="14" t="s">
        <v>196</v>
      </c>
      <c r="P103" s="38"/>
      <c r="Q103" s="165">
        <f t="shared" si="35"/>
        <v>0</v>
      </c>
      <c r="R103" s="165">
        <f t="shared" si="36"/>
        <v>0</v>
      </c>
      <c r="S103" s="17" t="s">
        <v>197</v>
      </c>
      <c r="T103" s="17"/>
      <c r="U103" s="104"/>
      <c r="W103" s="154"/>
      <c r="X103" s="119">
        <v>260</v>
      </c>
      <c r="Y103" s="111"/>
      <c r="Z103" s="118">
        <v>1</v>
      </c>
      <c r="AA103" s="111"/>
      <c r="AB103" s="117" t="str">
        <f>VLOOKUP(O103,{"甲级","1.2";"乙级","1";"丙级","0.8";"物探","0.22"},2,0)</f>
        <v>0.22</v>
      </c>
      <c r="AC103" s="111"/>
      <c r="AD103" s="130">
        <f t="shared" si="25"/>
        <v>-260</v>
      </c>
      <c r="AE103" s="130">
        <f t="shared" si="26"/>
        <v>-1</v>
      </c>
      <c r="AF103" s="130">
        <f t="shared" si="27"/>
        <v>-0.22</v>
      </c>
      <c r="AG103" s="131"/>
      <c r="AH103" s="131"/>
      <c r="AI103" s="131"/>
      <c r="AJ103" s="131"/>
      <c r="AK103" s="131"/>
      <c r="AL103" s="131"/>
      <c r="AM103" s="131"/>
      <c r="AN103" s="131"/>
      <c r="AO103" s="131"/>
    </row>
    <row r="104" spans="1:41" s="47" customFormat="1" ht="14.4" x14ac:dyDescent="0.25">
      <c r="A104" s="14">
        <v>100</v>
      </c>
      <c r="B104" s="209"/>
      <c r="C104" s="219" t="s">
        <v>203</v>
      </c>
      <c r="D104" s="213" t="s">
        <v>363</v>
      </c>
      <c r="E104" s="89" t="s">
        <v>109</v>
      </c>
      <c r="F104" s="89"/>
      <c r="G104" s="17" t="s">
        <v>51</v>
      </c>
      <c r="H104" s="167"/>
      <c r="I104" s="17"/>
      <c r="J104" s="17"/>
      <c r="K104" s="17"/>
      <c r="L104" s="17"/>
      <c r="M104" s="163"/>
      <c r="N104" s="165">
        <f t="shared" si="34"/>
        <v>0</v>
      </c>
      <c r="O104" s="14" t="s">
        <v>196</v>
      </c>
      <c r="P104" s="38"/>
      <c r="Q104" s="165">
        <f t="shared" si="35"/>
        <v>0</v>
      </c>
      <c r="R104" s="165">
        <f t="shared" si="36"/>
        <v>0</v>
      </c>
      <c r="S104" s="17" t="s">
        <v>197</v>
      </c>
      <c r="T104" s="17"/>
      <c r="U104" s="104"/>
      <c r="W104" s="154"/>
      <c r="X104" s="119">
        <v>1800</v>
      </c>
      <c r="Y104" s="111"/>
      <c r="Z104" s="118">
        <v>1</v>
      </c>
      <c r="AA104" s="111"/>
      <c r="AB104" s="117" t="str">
        <f>VLOOKUP(O104,{"甲级","1.2";"乙级","1";"丙级","0.8";"物探","0.22"},2,0)</f>
        <v>0.22</v>
      </c>
      <c r="AC104" s="111"/>
      <c r="AD104" s="130">
        <f t="shared" si="25"/>
        <v>-1800</v>
      </c>
      <c r="AE104" s="130">
        <f t="shared" si="26"/>
        <v>-1</v>
      </c>
      <c r="AF104" s="130">
        <f t="shared" si="27"/>
        <v>-0.22</v>
      </c>
      <c r="AG104" s="131"/>
      <c r="AH104" s="131"/>
      <c r="AI104" s="131"/>
      <c r="AJ104" s="131"/>
      <c r="AK104" s="131"/>
      <c r="AL104" s="131"/>
      <c r="AM104" s="131"/>
      <c r="AN104" s="131"/>
      <c r="AO104" s="131"/>
    </row>
    <row r="105" spans="1:41" s="47" customFormat="1" ht="14.4" x14ac:dyDescent="0.25">
      <c r="A105" s="14">
        <v>101</v>
      </c>
      <c r="B105" s="209"/>
      <c r="C105" s="219"/>
      <c r="D105" s="210"/>
      <c r="E105" s="89" t="s">
        <v>115</v>
      </c>
      <c r="F105" s="89"/>
      <c r="G105" s="17" t="s">
        <v>51</v>
      </c>
      <c r="H105" s="167"/>
      <c r="I105" s="17"/>
      <c r="J105" s="17"/>
      <c r="K105" s="17"/>
      <c r="L105" s="17"/>
      <c r="M105" s="163"/>
      <c r="N105" s="165">
        <f t="shared" si="34"/>
        <v>0</v>
      </c>
      <c r="O105" s="14" t="s">
        <v>196</v>
      </c>
      <c r="P105" s="38"/>
      <c r="Q105" s="165">
        <f t="shared" si="35"/>
        <v>0</v>
      </c>
      <c r="R105" s="165">
        <f t="shared" si="36"/>
        <v>0</v>
      </c>
      <c r="S105" s="17" t="s">
        <v>197</v>
      </c>
      <c r="T105" s="17"/>
      <c r="U105" s="104"/>
      <c r="W105" s="154"/>
      <c r="X105" s="119">
        <v>2520</v>
      </c>
      <c r="Y105" s="111"/>
      <c r="Z105" s="118">
        <v>1</v>
      </c>
      <c r="AA105" s="111"/>
      <c r="AB105" s="117" t="str">
        <f>VLOOKUP(O105,{"甲级","1.2";"乙级","1";"丙级","0.8";"物探","0.22"},2,0)</f>
        <v>0.22</v>
      </c>
      <c r="AC105" s="111"/>
      <c r="AD105" s="130">
        <f t="shared" si="25"/>
        <v>-2520</v>
      </c>
      <c r="AE105" s="130">
        <f t="shared" si="26"/>
        <v>-1</v>
      </c>
      <c r="AF105" s="130">
        <f t="shared" si="27"/>
        <v>-0.22</v>
      </c>
      <c r="AG105" s="131"/>
      <c r="AH105" s="131"/>
      <c r="AI105" s="131"/>
      <c r="AJ105" s="131"/>
      <c r="AK105" s="131"/>
      <c r="AL105" s="131"/>
      <c r="AM105" s="131"/>
      <c r="AN105" s="131"/>
      <c r="AO105" s="131"/>
    </row>
    <row r="106" spans="1:41" s="47" customFormat="1" ht="14.4" x14ac:dyDescent="0.25">
      <c r="A106" s="14">
        <v>102</v>
      </c>
      <c r="B106" s="209"/>
      <c r="C106" s="219"/>
      <c r="D106" s="210"/>
      <c r="E106" s="89" t="s">
        <v>117</v>
      </c>
      <c r="F106" s="89"/>
      <c r="G106" s="17" t="s">
        <v>51</v>
      </c>
      <c r="H106" s="167"/>
      <c r="I106" s="17"/>
      <c r="J106" s="17"/>
      <c r="K106" s="17"/>
      <c r="L106" s="17"/>
      <c r="M106" s="163"/>
      <c r="N106" s="165">
        <f t="shared" si="34"/>
        <v>0</v>
      </c>
      <c r="O106" s="14" t="s">
        <v>196</v>
      </c>
      <c r="P106" s="38"/>
      <c r="Q106" s="165">
        <f t="shared" si="35"/>
        <v>0</v>
      </c>
      <c r="R106" s="165">
        <f t="shared" si="36"/>
        <v>0</v>
      </c>
      <c r="S106" s="17" t="s">
        <v>197</v>
      </c>
      <c r="T106" s="17"/>
      <c r="U106" s="104"/>
      <c r="W106" s="154"/>
      <c r="X106" s="119">
        <v>3240</v>
      </c>
      <c r="Y106" s="111"/>
      <c r="Z106" s="118">
        <v>1</v>
      </c>
      <c r="AA106" s="111"/>
      <c r="AB106" s="117" t="str">
        <f>VLOOKUP(O106,{"甲级","1.2";"乙级","1";"丙级","0.8";"物探","0.22"},2,0)</f>
        <v>0.22</v>
      </c>
      <c r="AC106" s="111"/>
      <c r="AD106" s="130">
        <f t="shared" si="25"/>
        <v>-3240</v>
      </c>
      <c r="AE106" s="130">
        <f t="shared" si="26"/>
        <v>-1</v>
      </c>
      <c r="AF106" s="130">
        <f t="shared" si="27"/>
        <v>-0.22</v>
      </c>
      <c r="AG106" s="131"/>
      <c r="AH106" s="131"/>
      <c r="AI106" s="131"/>
      <c r="AJ106" s="131"/>
      <c r="AK106" s="131"/>
      <c r="AL106" s="131"/>
      <c r="AM106" s="131"/>
      <c r="AN106" s="131"/>
      <c r="AO106" s="131"/>
    </row>
    <row r="107" spans="1:41" s="47" customFormat="1" ht="14.4" x14ac:dyDescent="0.25">
      <c r="A107" s="14">
        <v>103</v>
      </c>
      <c r="B107" s="209"/>
      <c r="C107" s="219"/>
      <c r="D107" s="210"/>
      <c r="E107" s="89" t="s">
        <v>204</v>
      </c>
      <c r="F107" s="89"/>
      <c r="G107" s="17" t="s">
        <v>51</v>
      </c>
      <c r="H107" s="167"/>
      <c r="I107" s="17"/>
      <c r="J107" s="17"/>
      <c r="K107" s="17"/>
      <c r="L107" s="17"/>
      <c r="M107" s="163"/>
      <c r="N107" s="165">
        <f t="shared" si="34"/>
        <v>0</v>
      </c>
      <c r="O107" s="14" t="s">
        <v>196</v>
      </c>
      <c r="P107" s="38"/>
      <c r="Q107" s="165">
        <f t="shared" si="35"/>
        <v>0</v>
      </c>
      <c r="R107" s="165">
        <f t="shared" si="36"/>
        <v>0</v>
      </c>
      <c r="S107" s="17" t="s">
        <v>197</v>
      </c>
      <c r="T107" s="17"/>
      <c r="U107" s="104"/>
      <c r="W107" s="154"/>
      <c r="X107" s="119">
        <v>4320</v>
      </c>
      <c r="Y107" s="111"/>
      <c r="Z107" s="118">
        <v>1</v>
      </c>
      <c r="AA107" s="111"/>
      <c r="AB107" s="117" t="str">
        <f>VLOOKUP(O107,{"甲级","1.2";"乙级","1";"丙级","0.8";"物探","0.22"},2,0)</f>
        <v>0.22</v>
      </c>
      <c r="AC107" s="111"/>
      <c r="AD107" s="130">
        <f t="shared" si="25"/>
        <v>-4320</v>
      </c>
      <c r="AE107" s="130">
        <f t="shared" si="26"/>
        <v>-1</v>
      </c>
      <c r="AF107" s="130">
        <f t="shared" si="27"/>
        <v>-0.22</v>
      </c>
      <c r="AG107" s="131"/>
      <c r="AH107" s="131"/>
      <c r="AI107" s="131"/>
      <c r="AJ107" s="131"/>
      <c r="AK107" s="131"/>
      <c r="AL107" s="131"/>
      <c r="AM107" s="131"/>
      <c r="AN107" s="131"/>
      <c r="AO107" s="131"/>
    </row>
    <row r="108" spans="1:41" s="47" customFormat="1" ht="14.4" x14ac:dyDescent="0.25">
      <c r="A108" s="14">
        <v>104</v>
      </c>
      <c r="B108" s="209"/>
      <c r="C108" s="219"/>
      <c r="D108" s="210"/>
      <c r="E108" s="89" t="s">
        <v>162</v>
      </c>
      <c r="F108" s="89"/>
      <c r="G108" s="17" t="s">
        <v>51</v>
      </c>
      <c r="H108" s="167"/>
      <c r="I108" s="17"/>
      <c r="J108" s="17"/>
      <c r="K108" s="17"/>
      <c r="L108" s="17"/>
      <c r="M108" s="163"/>
      <c r="N108" s="165">
        <f t="shared" si="34"/>
        <v>0</v>
      </c>
      <c r="O108" s="14" t="s">
        <v>196</v>
      </c>
      <c r="P108" s="38"/>
      <c r="Q108" s="165">
        <f t="shared" si="35"/>
        <v>0</v>
      </c>
      <c r="R108" s="165">
        <f t="shared" si="36"/>
        <v>0</v>
      </c>
      <c r="S108" s="17" t="s">
        <v>197</v>
      </c>
      <c r="T108" s="17"/>
      <c r="U108" s="104"/>
      <c r="W108" s="154"/>
      <c r="X108" s="119">
        <v>5760</v>
      </c>
      <c r="Y108" s="111"/>
      <c r="Z108" s="118">
        <v>1</v>
      </c>
      <c r="AA108" s="111"/>
      <c r="AB108" s="117" t="str">
        <f>VLOOKUP(O108,{"甲级","1.2";"乙级","1";"丙级","0.8";"物探","0.22"},2,0)</f>
        <v>0.22</v>
      </c>
      <c r="AC108" s="111"/>
      <c r="AD108" s="130">
        <f t="shared" si="25"/>
        <v>-5760</v>
      </c>
      <c r="AE108" s="130">
        <f t="shared" si="26"/>
        <v>-1</v>
      </c>
      <c r="AF108" s="130">
        <f t="shared" si="27"/>
        <v>-0.22</v>
      </c>
      <c r="AG108" s="131"/>
      <c r="AH108" s="131"/>
      <c r="AI108" s="131"/>
      <c r="AJ108" s="131"/>
      <c r="AK108" s="131"/>
      <c r="AL108" s="131"/>
      <c r="AM108" s="131"/>
      <c r="AN108" s="131"/>
      <c r="AO108" s="131"/>
    </row>
    <row r="109" spans="1:41" s="47" customFormat="1" ht="14.4" x14ac:dyDescent="0.25">
      <c r="A109" s="14">
        <v>105</v>
      </c>
      <c r="B109" s="209"/>
      <c r="C109" s="219" t="s">
        <v>524</v>
      </c>
      <c r="D109" s="213" t="s">
        <v>205</v>
      </c>
      <c r="E109" s="89" t="s">
        <v>206</v>
      </c>
      <c r="F109" s="89" t="s">
        <v>207</v>
      </c>
      <c r="G109" s="17" t="s">
        <v>51</v>
      </c>
      <c r="H109" s="167"/>
      <c r="I109" s="17">
        <v>4810</v>
      </c>
      <c r="J109" s="89"/>
      <c r="K109" s="17"/>
      <c r="L109" s="89"/>
      <c r="M109" s="163"/>
      <c r="N109" s="165">
        <f t="shared" si="34"/>
        <v>0</v>
      </c>
      <c r="O109" s="14" t="s">
        <v>196</v>
      </c>
      <c r="P109" s="38"/>
      <c r="Q109" s="165">
        <f t="shared" si="35"/>
        <v>0</v>
      </c>
      <c r="R109" s="165">
        <f t="shared" si="36"/>
        <v>0</v>
      </c>
      <c r="S109" s="17" t="s">
        <v>197</v>
      </c>
      <c r="T109" s="17"/>
      <c r="U109" s="104"/>
      <c r="W109" s="154"/>
      <c r="X109" s="119">
        <f>30*0.8</f>
        <v>24</v>
      </c>
      <c r="Y109" s="111"/>
      <c r="Z109" s="118">
        <v>1</v>
      </c>
      <c r="AA109" s="111"/>
      <c r="AB109" s="117" t="str">
        <f>VLOOKUP(O109,{"甲级","1.2";"乙级","1";"丙级","0.8";"物探","0.22"},2,0)</f>
        <v>0.22</v>
      </c>
      <c r="AC109" s="111"/>
      <c r="AD109" s="130">
        <f t="shared" si="25"/>
        <v>-24</v>
      </c>
      <c r="AE109" s="130">
        <f t="shared" si="26"/>
        <v>-1</v>
      </c>
      <c r="AF109" s="130">
        <f t="shared" si="27"/>
        <v>-0.22</v>
      </c>
      <c r="AG109" s="131"/>
      <c r="AH109" s="131"/>
      <c r="AI109" s="131"/>
      <c r="AJ109" s="131"/>
      <c r="AK109" s="131"/>
      <c r="AL109" s="131"/>
      <c r="AM109" s="131"/>
      <c r="AN109" s="131"/>
      <c r="AO109" s="131"/>
    </row>
    <row r="110" spans="1:41" s="47" customFormat="1" ht="14.4" x14ac:dyDescent="0.25">
      <c r="A110" s="14">
        <v>106</v>
      </c>
      <c r="B110" s="209"/>
      <c r="C110" s="219"/>
      <c r="D110" s="213"/>
      <c r="E110" s="89" t="s">
        <v>208</v>
      </c>
      <c r="F110" s="89" t="s">
        <v>207</v>
      </c>
      <c r="G110" s="17" t="s">
        <v>51</v>
      </c>
      <c r="H110" s="167"/>
      <c r="I110" s="17"/>
      <c r="J110" s="89"/>
      <c r="K110" s="17"/>
      <c r="L110" s="89"/>
      <c r="M110" s="163"/>
      <c r="N110" s="165">
        <f t="shared" si="34"/>
        <v>0</v>
      </c>
      <c r="O110" s="14" t="s">
        <v>196</v>
      </c>
      <c r="P110" s="38"/>
      <c r="Q110" s="165">
        <f t="shared" si="35"/>
        <v>0</v>
      </c>
      <c r="R110" s="165">
        <f t="shared" si="36"/>
        <v>0</v>
      </c>
      <c r="S110" s="17" t="s">
        <v>197</v>
      </c>
      <c r="T110" s="17"/>
      <c r="U110" s="104"/>
      <c r="W110" s="154"/>
      <c r="X110" s="119">
        <v>40</v>
      </c>
      <c r="Y110" s="111"/>
      <c r="Z110" s="118">
        <v>1</v>
      </c>
      <c r="AA110" s="111"/>
      <c r="AB110" s="117" t="str">
        <f>VLOOKUP(O110,{"甲级","1.2";"乙级","1";"丙级","0.8";"物探","0.22"},2,0)</f>
        <v>0.22</v>
      </c>
      <c r="AC110" s="111"/>
      <c r="AD110" s="130">
        <f t="shared" si="25"/>
        <v>-40</v>
      </c>
      <c r="AE110" s="130">
        <f t="shared" si="26"/>
        <v>-1</v>
      </c>
      <c r="AF110" s="130">
        <f t="shared" si="27"/>
        <v>-0.22</v>
      </c>
      <c r="AG110" s="131"/>
      <c r="AH110" s="131"/>
      <c r="AI110" s="131"/>
      <c r="AJ110" s="131"/>
      <c r="AK110" s="131"/>
      <c r="AL110" s="131"/>
      <c r="AM110" s="131"/>
      <c r="AN110" s="131"/>
      <c r="AO110" s="131"/>
    </row>
    <row r="111" spans="1:41" s="47" customFormat="1" ht="14.4" x14ac:dyDescent="0.25">
      <c r="A111" s="14">
        <v>107</v>
      </c>
      <c r="B111" s="209"/>
      <c r="C111" s="219"/>
      <c r="D111" s="213"/>
      <c r="E111" s="89" t="s">
        <v>209</v>
      </c>
      <c r="F111" s="89" t="s">
        <v>207</v>
      </c>
      <c r="G111" s="17" t="s">
        <v>51</v>
      </c>
      <c r="H111" s="167"/>
      <c r="I111" s="17"/>
      <c r="J111" s="89"/>
      <c r="K111" s="17"/>
      <c r="L111" s="89"/>
      <c r="M111" s="163"/>
      <c r="N111" s="165">
        <f t="shared" si="34"/>
        <v>0</v>
      </c>
      <c r="O111" s="14" t="s">
        <v>196</v>
      </c>
      <c r="P111" s="38"/>
      <c r="Q111" s="165">
        <f t="shared" si="35"/>
        <v>0</v>
      </c>
      <c r="R111" s="165">
        <f t="shared" si="36"/>
        <v>0</v>
      </c>
      <c r="S111" s="17" t="s">
        <v>197</v>
      </c>
      <c r="T111" s="17"/>
      <c r="U111" s="104"/>
      <c r="W111" s="154"/>
      <c r="X111" s="119">
        <v>50</v>
      </c>
      <c r="Y111" s="111"/>
      <c r="Z111" s="118">
        <v>1</v>
      </c>
      <c r="AA111" s="111"/>
      <c r="AB111" s="117" t="str">
        <f>VLOOKUP(O111,{"甲级","1.2";"乙级","1";"丙级","0.8";"物探","0.22"},2,0)</f>
        <v>0.22</v>
      </c>
      <c r="AC111" s="111"/>
      <c r="AD111" s="130">
        <f t="shared" si="25"/>
        <v>-50</v>
      </c>
      <c r="AE111" s="130">
        <f t="shared" si="26"/>
        <v>-1</v>
      </c>
      <c r="AF111" s="130">
        <f t="shared" si="27"/>
        <v>-0.22</v>
      </c>
      <c r="AG111" s="131"/>
      <c r="AH111" s="131"/>
      <c r="AI111" s="131"/>
      <c r="AJ111" s="131"/>
      <c r="AK111" s="131"/>
      <c r="AL111" s="131"/>
      <c r="AM111" s="131"/>
      <c r="AN111" s="131"/>
      <c r="AO111" s="131"/>
    </row>
    <row r="112" spans="1:41" s="47" customFormat="1" ht="14.4" x14ac:dyDescent="0.25">
      <c r="A112" s="14">
        <v>108</v>
      </c>
      <c r="B112" s="209"/>
      <c r="C112" s="219"/>
      <c r="D112" s="213"/>
      <c r="E112" s="89" t="s">
        <v>210</v>
      </c>
      <c r="F112" s="89" t="s">
        <v>207</v>
      </c>
      <c r="G112" s="17" t="s">
        <v>51</v>
      </c>
      <c r="H112" s="167"/>
      <c r="I112" s="17"/>
      <c r="J112" s="89"/>
      <c r="K112" s="17"/>
      <c r="L112" s="89"/>
      <c r="M112" s="163"/>
      <c r="N112" s="165">
        <f t="shared" si="34"/>
        <v>0</v>
      </c>
      <c r="O112" s="14" t="s">
        <v>196</v>
      </c>
      <c r="P112" s="38"/>
      <c r="Q112" s="165">
        <f t="shared" si="35"/>
        <v>0</v>
      </c>
      <c r="R112" s="165">
        <f t="shared" si="36"/>
        <v>0</v>
      </c>
      <c r="S112" s="17" t="s">
        <v>197</v>
      </c>
      <c r="T112" s="17"/>
      <c r="U112" s="104"/>
      <c r="W112" s="154"/>
      <c r="X112" s="119">
        <v>60</v>
      </c>
      <c r="Y112" s="111"/>
      <c r="Z112" s="118">
        <v>1</v>
      </c>
      <c r="AA112" s="111"/>
      <c r="AB112" s="117" t="str">
        <f>VLOOKUP(O112,{"甲级","1.2";"乙级","1";"丙级","0.8";"物探","0.22"},2,0)</f>
        <v>0.22</v>
      </c>
      <c r="AC112" s="111"/>
      <c r="AD112" s="130">
        <f t="shared" si="25"/>
        <v>-60</v>
      </c>
      <c r="AE112" s="130">
        <f t="shared" si="26"/>
        <v>-1</v>
      </c>
      <c r="AF112" s="130">
        <f t="shared" si="27"/>
        <v>-0.22</v>
      </c>
      <c r="AG112" s="131"/>
      <c r="AH112" s="131"/>
      <c r="AI112" s="131"/>
      <c r="AJ112" s="131"/>
      <c r="AK112" s="131"/>
      <c r="AL112" s="131"/>
      <c r="AM112" s="131"/>
      <c r="AN112" s="131"/>
      <c r="AO112" s="131"/>
    </row>
    <row r="113" spans="1:41" s="47" customFormat="1" ht="48" x14ac:dyDescent="0.25">
      <c r="A113" s="14">
        <v>109</v>
      </c>
      <c r="B113" s="209"/>
      <c r="C113" s="249" t="s">
        <v>379</v>
      </c>
      <c r="D113" s="250"/>
      <c r="E113" s="250"/>
      <c r="F113" s="251"/>
      <c r="G113" s="17" t="s">
        <v>33</v>
      </c>
      <c r="H113" s="167"/>
      <c r="I113" s="17"/>
      <c r="J113" s="89"/>
      <c r="K113" s="17"/>
      <c r="L113" s="89"/>
      <c r="M113" s="163"/>
      <c r="N113" s="165">
        <f t="shared" si="34"/>
        <v>0</v>
      </c>
      <c r="O113" s="14" t="s">
        <v>196</v>
      </c>
      <c r="P113" s="38"/>
      <c r="Q113" s="165">
        <f t="shared" si="35"/>
        <v>0</v>
      </c>
      <c r="R113" s="165">
        <f t="shared" si="36"/>
        <v>0</v>
      </c>
      <c r="S113" s="17" t="s">
        <v>211</v>
      </c>
      <c r="T113" s="17"/>
      <c r="U113" s="104"/>
      <c r="W113" s="154"/>
      <c r="X113" s="119">
        <v>26000</v>
      </c>
      <c r="Y113" s="111"/>
      <c r="Z113" s="118">
        <v>1.3</v>
      </c>
      <c r="AA113" s="111"/>
      <c r="AB113" s="121">
        <v>1</v>
      </c>
      <c r="AC113" s="122" t="s">
        <v>494</v>
      </c>
      <c r="AD113" s="130">
        <f t="shared" si="25"/>
        <v>-26000</v>
      </c>
      <c r="AE113" s="130">
        <f t="shared" si="26"/>
        <v>-1.3</v>
      </c>
      <c r="AF113" s="130">
        <f t="shared" si="27"/>
        <v>-1</v>
      </c>
      <c r="AG113" s="131"/>
      <c r="AH113" s="131"/>
      <c r="AI113" s="131"/>
      <c r="AJ113" s="131"/>
      <c r="AK113" s="131"/>
      <c r="AL113" s="131"/>
      <c r="AM113" s="131"/>
      <c r="AN113" s="131"/>
      <c r="AO113" s="131"/>
    </row>
    <row r="114" spans="1:41" s="47" customFormat="1" ht="14.4" x14ac:dyDescent="0.25">
      <c r="A114" s="14">
        <v>110</v>
      </c>
      <c r="B114" s="209"/>
      <c r="C114" s="209" t="s">
        <v>364</v>
      </c>
      <c r="D114" s="210" t="s">
        <v>384</v>
      </c>
      <c r="E114" s="89" t="s">
        <v>212</v>
      </c>
      <c r="F114" s="14"/>
      <c r="G114" s="17" t="s">
        <v>51</v>
      </c>
      <c r="H114" s="162"/>
      <c r="I114" s="17"/>
      <c r="J114" s="89"/>
      <c r="K114" s="17"/>
      <c r="L114" s="89"/>
      <c r="M114" s="163"/>
      <c r="N114" s="165">
        <f t="shared" ref="N114:N139" si="37">H114*I114*M114</f>
        <v>0</v>
      </c>
      <c r="O114" s="14" t="s">
        <v>196</v>
      </c>
      <c r="P114" s="38"/>
      <c r="Q114" s="165">
        <f t="shared" ref="Q114:Q139" si="38">N114*P114</f>
        <v>0</v>
      </c>
      <c r="R114" s="165">
        <f t="shared" ref="R114:R139" si="39">N114+Q114</f>
        <v>0</v>
      </c>
      <c r="S114" s="17" t="s">
        <v>197</v>
      </c>
      <c r="T114" s="17"/>
      <c r="U114" s="104"/>
      <c r="W114" s="154"/>
      <c r="X114" s="119">
        <v>12</v>
      </c>
      <c r="Y114" s="111"/>
      <c r="Z114" s="118">
        <v>1</v>
      </c>
      <c r="AA114" s="111"/>
      <c r="AB114" s="117" t="str">
        <f>VLOOKUP(O114,{"甲级","1.2";"乙级","1";"丙级","0.8";"物探","0.22"},2,0)</f>
        <v>0.22</v>
      </c>
      <c r="AC114" s="111"/>
      <c r="AD114" s="130">
        <f t="shared" si="25"/>
        <v>-12</v>
      </c>
      <c r="AE114" s="130">
        <f t="shared" si="26"/>
        <v>-1</v>
      </c>
      <c r="AF114" s="130">
        <f t="shared" si="27"/>
        <v>-0.22</v>
      </c>
      <c r="AG114" s="131"/>
      <c r="AH114" s="131"/>
      <c r="AI114" s="131"/>
      <c r="AJ114" s="131"/>
      <c r="AK114" s="131"/>
      <c r="AL114" s="131"/>
      <c r="AM114" s="131"/>
      <c r="AN114" s="131"/>
      <c r="AO114" s="131"/>
    </row>
    <row r="115" spans="1:41" s="47" customFormat="1" ht="14.4" x14ac:dyDescent="0.25">
      <c r="A115" s="14">
        <v>111</v>
      </c>
      <c r="B115" s="209"/>
      <c r="C115" s="209"/>
      <c r="D115" s="210"/>
      <c r="E115" s="89" t="s">
        <v>213</v>
      </c>
      <c r="F115" s="14"/>
      <c r="G115" s="17" t="s">
        <v>51</v>
      </c>
      <c r="H115" s="162"/>
      <c r="I115" s="17"/>
      <c r="J115" s="89"/>
      <c r="K115" s="17"/>
      <c r="L115" s="89"/>
      <c r="M115" s="163"/>
      <c r="N115" s="165">
        <f t="shared" si="37"/>
        <v>0</v>
      </c>
      <c r="O115" s="14" t="s">
        <v>196</v>
      </c>
      <c r="P115" s="38"/>
      <c r="Q115" s="165">
        <f t="shared" si="38"/>
        <v>0</v>
      </c>
      <c r="R115" s="165">
        <f t="shared" si="39"/>
        <v>0</v>
      </c>
      <c r="S115" s="17" t="s">
        <v>197</v>
      </c>
      <c r="T115" s="17"/>
      <c r="U115" s="104"/>
      <c r="W115" s="154"/>
      <c r="X115" s="119">
        <v>16</v>
      </c>
      <c r="Y115" s="111"/>
      <c r="Z115" s="118">
        <v>1</v>
      </c>
      <c r="AA115" s="111"/>
      <c r="AB115" s="117" t="str">
        <f>VLOOKUP(O115,{"甲级","1.2";"乙级","1";"丙级","0.8";"物探","0.22"},2,0)</f>
        <v>0.22</v>
      </c>
      <c r="AC115" s="111"/>
      <c r="AD115" s="130">
        <f t="shared" si="25"/>
        <v>-16</v>
      </c>
      <c r="AE115" s="130">
        <f t="shared" si="26"/>
        <v>-1</v>
      </c>
      <c r="AF115" s="130">
        <f t="shared" si="27"/>
        <v>-0.22</v>
      </c>
      <c r="AG115" s="131"/>
      <c r="AH115" s="131"/>
      <c r="AI115" s="131"/>
      <c r="AJ115" s="131"/>
      <c r="AK115" s="131"/>
      <c r="AL115" s="131"/>
      <c r="AM115" s="131"/>
      <c r="AN115" s="131"/>
      <c r="AO115" s="131"/>
    </row>
    <row r="116" spans="1:41" s="47" customFormat="1" ht="14.4" x14ac:dyDescent="0.25">
      <c r="A116" s="14">
        <v>112</v>
      </c>
      <c r="B116" s="209"/>
      <c r="C116" s="209"/>
      <c r="D116" s="210"/>
      <c r="E116" s="89" t="s">
        <v>214</v>
      </c>
      <c r="F116" s="14"/>
      <c r="G116" s="17" t="s">
        <v>51</v>
      </c>
      <c r="H116" s="162"/>
      <c r="I116" s="17"/>
      <c r="J116" s="89"/>
      <c r="K116" s="17"/>
      <c r="L116" s="89"/>
      <c r="M116" s="163"/>
      <c r="N116" s="165">
        <f t="shared" si="37"/>
        <v>0</v>
      </c>
      <c r="O116" s="14" t="s">
        <v>196</v>
      </c>
      <c r="P116" s="38"/>
      <c r="Q116" s="165">
        <f t="shared" si="38"/>
        <v>0</v>
      </c>
      <c r="R116" s="165">
        <f t="shared" si="39"/>
        <v>0</v>
      </c>
      <c r="S116" s="17" t="s">
        <v>197</v>
      </c>
      <c r="T116" s="17"/>
      <c r="U116" s="104"/>
      <c r="W116" s="154"/>
      <c r="X116" s="119">
        <v>18</v>
      </c>
      <c r="Y116" s="111"/>
      <c r="Z116" s="118">
        <v>1</v>
      </c>
      <c r="AA116" s="111"/>
      <c r="AB116" s="117" t="str">
        <f>VLOOKUP(O116,{"甲级","1.2";"乙级","1";"丙级","0.8";"物探","0.22"},2,0)</f>
        <v>0.22</v>
      </c>
      <c r="AC116" s="111"/>
      <c r="AD116" s="130">
        <f t="shared" si="25"/>
        <v>-18</v>
      </c>
      <c r="AE116" s="130">
        <f t="shared" si="26"/>
        <v>-1</v>
      </c>
      <c r="AF116" s="130">
        <f t="shared" si="27"/>
        <v>-0.22</v>
      </c>
      <c r="AG116" s="131"/>
      <c r="AH116" s="131"/>
      <c r="AI116" s="131"/>
      <c r="AJ116" s="131"/>
      <c r="AK116" s="131"/>
      <c r="AL116" s="131"/>
      <c r="AM116" s="131"/>
      <c r="AN116" s="131"/>
      <c r="AO116" s="131"/>
    </row>
    <row r="117" spans="1:41" s="47" customFormat="1" ht="14.4" x14ac:dyDescent="0.25">
      <c r="A117" s="14">
        <v>113</v>
      </c>
      <c r="B117" s="209"/>
      <c r="C117" s="209"/>
      <c r="D117" s="210"/>
      <c r="E117" s="89" t="s">
        <v>215</v>
      </c>
      <c r="F117" s="14"/>
      <c r="G117" s="17" t="s">
        <v>51</v>
      </c>
      <c r="H117" s="162"/>
      <c r="I117" s="17"/>
      <c r="J117" s="89"/>
      <c r="K117" s="17"/>
      <c r="L117" s="89"/>
      <c r="M117" s="163"/>
      <c r="N117" s="165">
        <f t="shared" si="37"/>
        <v>0</v>
      </c>
      <c r="O117" s="14" t="s">
        <v>196</v>
      </c>
      <c r="P117" s="38"/>
      <c r="Q117" s="165">
        <f t="shared" si="38"/>
        <v>0</v>
      </c>
      <c r="R117" s="165">
        <f t="shared" si="39"/>
        <v>0</v>
      </c>
      <c r="S117" s="17" t="s">
        <v>197</v>
      </c>
      <c r="T117" s="17"/>
      <c r="U117" s="104"/>
      <c r="W117" s="154"/>
      <c r="X117" s="119">
        <v>28</v>
      </c>
      <c r="Y117" s="111"/>
      <c r="Z117" s="118">
        <v>1</v>
      </c>
      <c r="AA117" s="111"/>
      <c r="AB117" s="117" t="str">
        <f>VLOOKUP(O117,{"甲级","1.2";"乙级","1";"丙级","0.8";"物探","0.22"},2,0)</f>
        <v>0.22</v>
      </c>
      <c r="AC117" s="111"/>
      <c r="AD117" s="130">
        <f t="shared" si="25"/>
        <v>-28</v>
      </c>
      <c r="AE117" s="130">
        <f t="shared" si="26"/>
        <v>-1</v>
      </c>
      <c r="AF117" s="130">
        <f t="shared" si="27"/>
        <v>-0.22</v>
      </c>
      <c r="AG117" s="131"/>
      <c r="AH117" s="131"/>
      <c r="AI117" s="131"/>
      <c r="AJ117" s="131"/>
      <c r="AK117" s="131"/>
      <c r="AL117" s="131"/>
      <c r="AM117" s="131"/>
      <c r="AN117" s="131"/>
      <c r="AO117" s="131"/>
    </row>
    <row r="118" spans="1:41" s="47" customFormat="1" ht="84" x14ac:dyDescent="0.25">
      <c r="A118" s="14">
        <v>114</v>
      </c>
      <c r="B118" s="209"/>
      <c r="C118" s="209" t="s">
        <v>526</v>
      </c>
      <c r="D118" s="213" t="s">
        <v>365</v>
      </c>
      <c r="E118" s="89" t="s">
        <v>216</v>
      </c>
      <c r="F118" s="14"/>
      <c r="G118" s="17" t="s">
        <v>51</v>
      </c>
      <c r="H118" s="167"/>
      <c r="I118" s="17">
        <v>360</v>
      </c>
      <c r="J118" s="89"/>
      <c r="K118" s="17"/>
      <c r="L118" s="89" t="s">
        <v>217</v>
      </c>
      <c r="M118" s="163"/>
      <c r="N118" s="165">
        <f t="shared" si="37"/>
        <v>0</v>
      </c>
      <c r="O118" s="14" t="s">
        <v>196</v>
      </c>
      <c r="P118" s="38"/>
      <c r="Q118" s="165">
        <f t="shared" si="38"/>
        <v>0</v>
      </c>
      <c r="R118" s="165">
        <f t="shared" si="39"/>
        <v>0</v>
      </c>
      <c r="S118" s="17" t="s">
        <v>197</v>
      </c>
      <c r="T118" s="17" t="s">
        <v>198</v>
      </c>
      <c r="U118" s="104"/>
      <c r="W118" s="154"/>
      <c r="X118" s="119">
        <v>2160</v>
      </c>
      <c r="Y118" s="111"/>
      <c r="Z118" s="118">
        <v>1.7</v>
      </c>
      <c r="AA118" s="111"/>
      <c r="AB118" s="117" t="str">
        <f>VLOOKUP(O118,{"甲级","1.2";"乙级","1";"丙级","0.8";"物探","0.22"},2,0)</f>
        <v>0.22</v>
      </c>
      <c r="AC118" s="111"/>
      <c r="AD118" s="130">
        <f t="shared" si="25"/>
        <v>-2160</v>
      </c>
      <c r="AE118" s="130">
        <f t="shared" si="26"/>
        <v>-1.7</v>
      </c>
      <c r="AF118" s="130">
        <f t="shared" si="27"/>
        <v>-0.22</v>
      </c>
      <c r="AG118" s="131"/>
      <c r="AH118" s="131"/>
      <c r="AI118" s="131"/>
      <c r="AJ118" s="131"/>
      <c r="AK118" s="131"/>
      <c r="AL118" s="131"/>
      <c r="AM118" s="131"/>
      <c r="AN118" s="131"/>
      <c r="AO118" s="131"/>
    </row>
    <row r="119" spans="1:41" s="47" customFormat="1" ht="14.4" x14ac:dyDescent="0.25">
      <c r="A119" s="14">
        <v>115</v>
      </c>
      <c r="B119" s="209"/>
      <c r="C119" s="209"/>
      <c r="D119" s="210"/>
      <c r="E119" s="89" t="s">
        <v>218</v>
      </c>
      <c r="F119" s="14"/>
      <c r="G119" s="17" t="s">
        <v>51</v>
      </c>
      <c r="H119" s="167"/>
      <c r="I119" s="17"/>
      <c r="J119" s="89"/>
      <c r="K119" s="17"/>
      <c r="L119" s="89"/>
      <c r="M119" s="163"/>
      <c r="N119" s="165">
        <f t="shared" si="37"/>
        <v>0</v>
      </c>
      <c r="O119" s="14" t="s">
        <v>196</v>
      </c>
      <c r="P119" s="38"/>
      <c r="Q119" s="165">
        <f t="shared" si="38"/>
        <v>0</v>
      </c>
      <c r="R119" s="165">
        <f t="shared" si="39"/>
        <v>0</v>
      </c>
      <c r="S119" s="17" t="s">
        <v>197</v>
      </c>
      <c r="T119" s="17"/>
      <c r="U119" s="104"/>
      <c r="W119" s="154"/>
      <c r="X119" s="119">
        <v>3600</v>
      </c>
      <c r="Y119" s="111"/>
      <c r="Z119" s="118">
        <v>1</v>
      </c>
      <c r="AA119" s="111"/>
      <c r="AB119" s="117" t="str">
        <f>VLOOKUP(O119,{"甲级","1.2";"乙级","1";"丙级","0.8";"物探","0.22"},2,0)</f>
        <v>0.22</v>
      </c>
      <c r="AC119" s="111"/>
      <c r="AD119" s="130">
        <f t="shared" si="25"/>
        <v>-3600</v>
      </c>
      <c r="AE119" s="130">
        <f t="shared" si="26"/>
        <v>-1</v>
      </c>
      <c r="AF119" s="130">
        <f t="shared" si="27"/>
        <v>-0.22</v>
      </c>
      <c r="AG119" s="131"/>
      <c r="AH119" s="131"/>
      <c r="AI119" s="131"/>
      <c r="AJ119" s="131"/>
      <c r="AK119" s="131"/>
      <c r="AL119" s="131"/>
      <c r="AM119" s="131"/>
      <c r="AN119" s="131"/>
      <c r="AO119" s="131"/>
    </row>
    <row r="120" spans="1:41" s="47" customFormat="1" ht="24" x14ac:dyDescent="0.25">
      <c r="A120" s="14">
        <v>116</v>
      </c>
      <c r="B120" s="209"/>
      <c r="C120" s="209" t="s">
        <v>219</v>
      </c>
      <c r="D120" s="216" t="s">
        <v>220</v>
      </c>
      <c r="E120" s="216"/>
      <c r="F120" s="14"/>
      <c r="G120" s="89" t="s">
        <v>195</v>
      </c>
      <c r="H120" s="167"/>
      <c r="I120" s="17"/>
      <c r="J120" s="89"/>
      <c r="K120" s="17"/>
      <c r="L120" s="89"/>
      <c r="M120" s="163"/>
      <c r="N120" s="165">
        <f t="shared" si="37"/>
        <v>0</v>
      </c>
      <c r="O120" s="14" t="s">
        <v>196</v>
      </c>
      <c r="P120" s="38"/>
      <c r="Q120" s="165">
        <f t="shared" si="38"/>
        <v>0</v>
      </c>
      <c r="R120" s="165">
        <f t="shared" si="39"/>
        <v>0</v>
      </c>
      <c r="S120" s="17" t="s">
        <v>197</v>
      </c>
      <c r="T120" s="17"/>
      <c r="U120" s="104"/>
      <c r="W120" s="154"/>
      <c r="X120" s="119">
        <v>20</v>
      </c>
      <c r="Y120" s="111"/>
      <c r="Z120" s="118">
        <v>1</v>
      </c>
      <c r="AA120" s="111"/>
      <c r="AB120" s="117" t="str">
        <f>VLOOKUP(O120,{"甲级","1.2";"乙级","1";"丙级","0.8";"物探","0.22"},2,0)</f>
        <v>0.22</v>
      </c>
      <c r="AC120" s="111"/>
      <c r="AD120" s="130">
        <f t="shared" si="25"/>
        <v>-20</v>
      </c>
      <c r="AE120" s="130">
        <f t="shared" si="26"/>
        <v>-1</v>
      </c>
      <c r="AF120" s="130">
        <f t="shared" si="27"/>
        <v>-0.22</v>
      </c>
      <c r="AG120" s="131"/>
      <c r="AH120" s="131"/>
      <c r="AI120" s="131"/>
      <c r="AJ120" s="131"/>
      <c r="AK120" s="131"/>
      <c r="AL120" s="131"/>
      <c r="AM120" s="131"/>
      <c r="AN120" s="131"/>
      <c r="AO120" s="131"/>
    </row>
    <row r="121" spans="1:41" s="47" customFormat="1" ht="14.4" x14ac:dyDescent="0.25">
      <c r="A121" s="14">
        <v>117</v>
      </c>
      <c r="B121" s="209"/>
      <c r="C121" s="209"/>
      <c r="D121" s="216" t="s">
        <v>221</v>
      </c>
      <c r="E121" s="216"/>
      <c r="F121" s="14"/>
      <c r="G121" s="89" t="s">
        <v>222</v>
      </c>
      <c r="H121" s="167"/>
      <c r="I121" s="17"/>
      <c r="J121" s="89"/>
      <c r="K121" s="17"/>
      <c r="L121" s="89"/>
      <c r="M121" s="163"/>
      <c r="N121" s="165">
        <f t="shared" si="37"/>
        <v>0</v>
      </c>
      <c r="O121" s="14" t="s">
        <v>196</v>
      </c>
      <c r="P121" s="38"/>
      <c r="Q121" s="165">
        <f t="shared" si="38"/>
        <v>0</v>
      </c>
      <c r="R121" s="165">
        <f t="shared" si="39"/>
        <v>0</v>
      </c>
      <c r="S121" s="17" t="s">
        <v>197</v>
      </c>
      <c r="T121" s="17"/>
      <c r="U121" s="104"/>
      <c r="W121" s="154"/>
      <c r="X121" s="119">
        <v>14</v>
      </c>
      <c r="Y121" s="111"/>
      <c r="Z121" s="118">
        <v>1</v>
      </c>
      <c r="AA121" s="111"/>
      <c r="AB121" s="117" t="str">
        <f>VLOOKUP(O121,{"甲级","1.2";"乙级","1";"丙级","0.8";"物探","0.22"},2,0)</f>
        <v>0.22</v>
      </c>
      <c r="AC121" s="111"/>
      <c r="AD121" s="130">
        <f t="shared" si="25"/>
        <v>-14</v>
      </c>
      <c r="AE121" s="130">
        <f t="shared" si="26"/>
        <v>-1</v>
      </c>
      <c r="AF121" s="130">
        <f t="shared" si="27"/>
        <v>-0.22</v>
      </c>
      <c r="AG121" s="131"/>
      <c r="AH121" s="131"/>
      <c r="AI121" s="131"/>
      <c r="AJ121" s="131"/>
      <c r="AK121" s="131"/>
      <c r="AL121" s="131"/>
      <c r="AM121" s="131"/>
      <c r="AN121" s="131"/>
      <c r="AO121" s="131"/>
    </row>
    <row r="122" spans="1:41" s="47" customFormat="1" ht="14.4" x14ac:dyDescent="0.25">
      <c r="A122" s="14">
        <v>118</v>
      </c>
      <c r="B122" s="209"/>
      <c r="C122" s="209" t="s">
        <v>366</v>
      </c>
      <c r="D122" s="210" t="s">
        <v>223</v>
      </c>
      <c r="E122" s="89" t="s">
        <v>224</v>
      </c>
      <c r="F122" s="14"/>
      <c r="G122" s="89" t="s">
        <v>51</v>
      </c>
      <c r="H122" s="167"/>
      <c r="I122" s="17"/>
      <c r="J122" s="89"/>
      <c r="K122" s="17"/>
      <c r="L122" s="89"/>
      <c r="M122" s="163"/>
      <c r="N122" s="165">
        <f t="shared" si="37"/>
        <v>0</v>
      </c>
      <c r="O122" s="14" t="s">
        <v>196</v>
      </c>
      <c r="P122" s="38"/>
      <c r="Q122" s="165">
        <f t="shared" si="38"/>
        <v>0</v>
      </c>
      <c r="R122" s="165">
        <f t="shared" si="39"/>
        <v>0</v>
      </c>
      <c r="S122" s="17" t="s">
        <v>197</v>
      </c>
      <c r="T122" s="17"/>
      <c r="U122" s="104"/>
      <c r="W122" s="154"/>
      <c r="X122" s="119">
        <v>20</v>
      </c>
      <c r="Y122" s="111"/>
      <c r="Z122" s="118">
        <v>1.3</v>
      </c>
      <c r="AA122" s="111"/>
      <c r="AB122" s="117" t="str">
        <f>VLOOKUP(O122,{"甲级","1.2";"乙级","1";"丙级","0.8";"物探","0.22"},2,0)</f>
        <v>0.22</v>
      </c>
      <c r="AC122" s="111"/>
      <c r="AD122" s="130">
        <f t="shared" si="25"/>
        <v>-20</v>
      </c>
      <c r="AE122" s="130">
        <f t="shared" si="26"/>
        <v>-1.3</v>
      </c>
      <c r="AF122" s="130">
        <f t="shared" si="27"/>
        <v>-0.22</v>
      </c>
      <c r="AG122" s="131"/>
      <c r="AH122" s="131"/>
      <c r="AI122" s="131"/>
      <c r="AJ122" s="131"/>
      <c r="AK122" s="131"/>
      <c r="AL122" s="131"/>
      <c r="AM122" s="131"/>
      <c r="AN122" s="131"/>
      <c r="AO122" s="131"/>
    </row>
    <row r="123" spans="1:41" s="47" customFormat="1" ht="14.4" x14ac:dyDescent="0.25">
      <c r="A123" s="14">
        <v>119</v>
      </c>
      <c r="B123" s="209"/>
      <c r="C123" s="209"/>
      <c r="D123" s="210"/>
      <c r="E123" s="89" t="s">
        <v>225</v>
      </c>
      <c r="F123" s="14"/>
      <c r="G123" s="89" t="s">
        <v>226</v>
      </c>
      <c r="H123" s="167"/>
      <c r="I123" s="17"/>
      <c r="J123" s="89"/>
      <c r="K123" s="17"/>
      <c r="L123" s="89"/>
      <c r="M123" s="163"/>
      <c r="N123" s="165">
        <f t="shared" si="37"/>
        <v>0</v>
      </c>
      <c r="O123" s="14" t="s">
        <v>196</v>
      </c>
      <c r="P123" s="38"/>
      <c r="Q123" s="165">
        <f t="shared" si="38"/>
        <v>0</v>
      </c>
      <c r="R123" s="165">
        <f t="shared" si="39"/>
        <v>0</v>
      </c>
      <c r="S123" s="17" t="s">
        <v>197</v>
      </c>
      <c r="T123" s="17"/>
      <c r="U123" s="104"/>
      <c r="W123" s="154"/>
      <c r="X123" s="119">
        <v>13500</v>
      </c>
      <c r="Y123" s="111"/>
      <c r="Z123" s="118">
        <v>1.3</v>
      </c>
      <c r="AA123" s="111"/>
      <c r="AB123" s="117" t="str">
        <f>VLOOKUP(O123,{"甲级","1.2";"乙级","1";"丙级","0.8";"物探","0.22"},2,0)</f>
        <v>0.22</v>
      </c>
      <c r="AC123" s="111"/>
      <c r="AD123" s="130">
        <f t="shared" si="25"/>
        <v>-13500</v>
      </c>
      <c r="AE123" s="130">
        <f t="shared" si="26"/>
        <v>-1.3</v>
      </c>
      <c r="AF123" s="130">
        <f t="shared" si="27"/>
        <v>-0.22</v>
      </c>
      <c r="AG123" s="131"/>
      <c r="AH123" s="131"/>
      <c r="AI123" s="131"/>
      <c r="AJ123" s="131"/>
      <c r="AK123" s="131"/>
      <c r="AL123" s="131"/>
      <c r="AM123" s="131"/>
      <c r="AN123" s="131"/>
      <c r="AO123" s="131"/>
    </row>
    <row r="124" spans="1:41" s="47" customFormat="1" ht="14.4" x14ac:dyDescent="0.25">
      <c r="A124" s="14">
        <v>120</v>
      </c>
      <c r="B124" s="209"/>
      <c r="C124" s="209" t="s">
        <v>227</v>
      </c>
      <c r="D124" s="213" t="s">
        <v>228</v>
      </c>
      <c r="E124" s="89">
        <v>10</v>
      </c>
      <c r="F124" s="14"/>
      <c r="G124" s="147" t="s">
        <v>229</v>
      </c>
      <c r="H124" s="167"/>
      <c r="I124" s="17"/>
      <c r="J124" s="89"/>
      <c r="K124" s="17"/>
      <c r="L124" s="89"/>
      <c r="M124" s="163"/>
      <c r="N124" s="165">
        <f t="shared" si="37"/>
        <v>0</v>
      </c>
      <c r="O124" s="14" t="s">
        <v>196</v>
      </c>
      <c r="P124" s="38"/>
      <c r="Q124" s="165">
        <f t="shared" si="38"/>
        <v>0</v>
      </c>
      <c r="R124" s="165">
        <f t="shared" si="39"/>
        <v>0</v>
      </c>
      <c r="S124" s="17" t="s">
        <v>197</v>
      </c>
      <c r="T124" s="17"/>
      <c r="U124" s="104"/>
      <c r="W124" s="154"/>
      <c r="X124" s="119">
        <v>216</v>
      </c>
      <c r="Y124" s="111"/>
      <c r="Z124" s="118">
        <v>1</v>
      </c>
      <c r="AA124" s="111"/>
      <c r="AB124" s="117" t="str">
        <f>VLOOKUP(O124,{"甲级","1.2";"乙级","1";"丙级","0.8";"物探","0.22"},2,0)</f>
        <v>0.22</v>
      </c>
      <c r="AC124" s="111"/>
      <c r="AD124" s="130">
        <f t="shared" si="25"/>
        <v>-216</v>
      </c>
      <c r="AE124" s="130">
        <f t="shared" si="26"/>
        <v>-1</v>
      </c>
      <c r="AF124" s="130">
        <f t="shared" si="27"/>
        <v>-0.22</v>
      </c>
      <c r="AG124" s="131"/>
      <c r="AH124" s="131"/>
      <c r="AI124" s="131"/>
      <c r="AJ124" s="131"/>
      <c r="AK124" s="131"/>
      <c r="AL124" s="131"/>
      <c r="AM124" s="131"/>
      <c r="AN124" s="131"/>
      <c r="AO124" s="131"/>
    </row>
    <row r="125" spans="1:41" s="47" customFormat="1" ht="14.4" x14ac:dyDescent="0.25">
      <c r="A125" s="14">
        <v>121</v>
      </c>
      <c r="B125" s="209"/>
      <c r="C125" s="209"/>
      <c r="D125" s="210"/>
      <c r="E125" s="89">
        <v>20</v>
      </c>
      <c r="F125" s="14"/>
      <c r="G125" s="147" t="s">
        <v>229</v>
      </c>
      <c r="H125" s="167"/>
      <c r="I125" s="17"/>
      <c r="J125" s="89"/>
      <c r="K125" s="17"/>
      <c r="L125" s="89"/>
      <c r="M125" s="163"/>
      <c r="N125" s="165">
        <f t="shared" si="37"/>
        <v>0</v>
      </c>
      <c r="O125" s="14" t="s">
        <v>196</v>
      </c>
      <c r="P125" s="38"/>
      <c r="Q125" s="165">
        <f t="shared" si="38"/>
        <v>0</v>
      </c>
      <c r="R125" s="165">
        <f t="shared" si="39"/>
        <v>0</v>
      </c>
      <c r="S125" s="17" t="s">
        <v>197</v>
      </c>
      <c r="T125" s="17"/>
      <c r="U125" s="104"/>
      <c r="W125" s="154"/>
      <c r="X125" s="119">
        <v>360</v>
      </c>
      <c r="Y125" s="111"/>
      <c r="Z125" s="118">
        <v>1</v>
      </c>
      <c r="AA125" s="111"/>
      <c r="AB125" s="117" t="str">
        <f>VLOOKUP(O125,{"甲级","1.2";"乙级","1";"丙级","0.8";"物探","0.22"},2,0)</f>
        <v>0.22</v>
      </c>
      <c r="AC125" s="111"/>
      <c r="AD125" s="130">
        <f t="shared" si="25"/>
        <v>-360</v>
      </c>
      <c r="AE125" s="130">
        <f t="shared" si="26"/>
        <v>-1</v>
      </c>
      <c r="AF125" s="130">
        <f t="shared" si="27"/>
        <v>-0.22</v>
      </c>
      <c r="AG125" s="131"/>
      <c r="AH125" s="131"/>
      <c r="AI125" s="131"/>
      <c r="AJ125" s="131"/>
      <c r="AK125" s="131"/>
      <c r="AL125" s="131"/>
      <c r="AM125" s="131"/>
      <c r="AN125" s="131"/>
      <c r="AO125" s="131"/>
    </row>
    <row r="126" spans="1:41" s="47" customFormat="1" ht="14.4" x14ac:dyDescent="0.25">
      <c r="A126" s="14">
        <v>122</v>
      </c>
      <c r="B126" s="209"/>
      <c r="C126" s="209"/>
      <c r="D126" s="210"/>
      <c r="E126" s="89">
        <v>50</v>
      </c>
      <c r="F126" s="14"/>
      <c r="G126" s="147" t="s">
        <v>229</v>
      </c>
      <c r="H126" s="167"/>
      <c r="I126" s="17"/>
      <c r="J126" s="89"/>
      <c r="K126" s="17"/>
      <c r="L126" s="89"/>
      <c r="M126" s="163"/>
      <c r="N126" s="165">
        <f t="shared" si="37"/>
        <v>0</v>
      </c>
      <c r="O126" s="14" t="s">
        <v>196</v>
      </c>
      <c r="P126" s="38"/>
      <c r="Q126" s="165">
        <f t="shared" si="38"/>
        <v>0</v>
      </c>
      <c r="R126" s="165">
        <f t="shared" si="39"/>
        <v>0</v>
      </c>
      <c r="S126" s="17" t="s">
        <v>197</v>
      </c>
      <c r="T126" s="17"/>
      <c r="U126" s="104"/>
      <c r="W126" s="154"/>
      <c r="X126" s="119">
        <v>720</v>
      </c>
      <c r="Y126" s="111"/>
      <c r="Z126" s="118">
        <v>1</v>
      </c>
      <c r="AA126" s="111"/>
      <c r="AB126" s="117" t="str">
        <f>VLOOKUP(O126,{"甲级","1.2";"乙级","1";"丙级","0.8";"物探","0.22"},2,0)</f>
        <v>0.22</v>
      </c>
      <c r="AC126" s="111"/>
      <c r="AD126" s="130">
        <f t="shared" si="25"/>
        <v>-720</v>
      </c>
      <c r="AE126" s="130">
        <f t="shared" si="26"/>
        <v>-1</v>
      </c>
      <c r="AF126" s="130">
        <f t="shared" si="27"/>
        <v>-0.22</v>
      </c>
      <c r="AG126" s="131"/>
      <c r="AH126" s="131"/>
      <c r="AI126" s="131"/>
      <c r="AJ126" s="131"/>
      <c r="AK126" s="131"/>
      <c r="AL126" s="131"/>
      <c r="AM126" s="131"/>
      <c r="AN126" s="131"/>
      <c r="AO126" s="131"/>
    </row>
    <row r="127" spans="1:41" s="47" customFormat="1" ht="24" x14ac:dyDescent="0.25">
      <c r="A127" s="14">
        <v>123</v>
      </c>
      <c r="B127" s="209"/>
      <c r="C127" s="209"/>
      <c r="D127" s="228"/>
      <c r="E127" s="89">
        <v>100</v>
      </c>
      <c r="F127" s="14"/>
      <c r="G127" s="147" t="s">
        <v>229</v>
      </c>
      <c r="H127" s="167"/>
      <c r="I127" s="17">
        <v>229</v>
      </c>
      <c r="J127" s="89"/>
      <c r="K127" s="17"/>
      <c r="L127" s="89"/>
      <c r="M127" s="163"/>
      <c r="N127" s="165">
        <f t="shared" si="37"/>
        <v>0</v>
      </c>
      <c r="O127" s="14" t="s">
        <v>196</v>
      </c>
      <c r="P127" s="38"/>
      <c r="Q127" s="165">
        <f t="shared" si="38"/>
        <v>0</v>
      </c>
      <c r="R127" s="165">
        <f t="shared" si="39"/>
        <v>0</v>
      </c>
      <c r="S127" s="17" t="s">
        <v>197</v>
      </c>
      <c r="T127" s="17" t="s">
        <v>230</v>
      </c>
      <c r="U127" s="104"/>
      <c r="W127" s="154"/>
      <c r="X127" s="119">
        <v>2160</v>
      </c>
      <c r="Y127" s="111"/>
      <c r="Z127" s="118">
        <v>1.5</v>
      </c>
      <c r="AA127" s="111"/>
      <c r="AB127" s="117" t="str">
        <f>VLOOKUP(O127,{"甲级","1.2";"乙级","1";"丙级","0.8";"物探","0.22"},2,0)</f>
        <v>0.22</v>
      </c>
      <c r="AC127" s="111"/>
      <c r="AD127" s="130">
        <f t="shared" si="25"/>
        <v>-2160</v>
      </c>
      <c r="AE127" s="130">
        <f t="shared" si="26"/>
        <v>-1.5</v>
      </c>
      <c r="AF127" s="130">
        <f t="shared" si="27"/>
        <v>-0.22</v>
      </c>
      <c r="AG127" s="131"/>
      <c r="AH127" s="131"/>
      <c r="AI127" s="131"/>
      <c r="AJ127" s="131"/>
      <c r="AK127" s="131"/>
      <c r="AL127" s="131"/>
      <c r="AM127" s="131"/>
      <c r="AN127" s="131"/>
      <c r="AO127" s="131"/>
    </row>
    <row r="128" spans="1:41" s="47" customFormat="1" ht="14.4" x14ac:dyDescent="0.25">
      <c r="A128" s="14">
        <v>124</v>
      </c>
      <c r="B128" s="209"/>
      <c r="C128" s="209"/>
      <c r="D128" s="210"/>
      <c r="E128" s="89">
        <v>200</v>
      </c>
      <c r="F128" s="14"/>
      <c r="G128" s="147" t="s">
        <v>229</v>
      </c>
      <c r="H128" s="167"/>
      <c r="I128" s="17"/>
      <c r="J128" s="17"/>
      <c r="K128" s="17"/>
      <c r="L128" s="17"/>
      <c r="M128" s="163"/>
      <c r="N128" s="165">
        <f t="shared" si="37"/>
        <v>0</v>
      </c>
      <c r="O128" s="14" t="s">
        <v>196</v>
      </c>
      <c r="P128" s="38"/>
      <c r="Q128" s="165">
        <f t="shared" si="38"/>
        <v>0</v>
      </c>
      <c r="R128" s="165">
        <f t="shared" si="39"/>
        <v>0</v>
      </c>
      <c r="S128" s="17" t="s">
        <v>197</v>
      </c>
      <c r="T128" s="17"/>
      <c r="U128" s="104"/>
      <c r="W128" s="154"/>
      <c r="X128" s="119">
        <v>3600</v>
      </c>
      <c r="Y128" s="111"/>
      <c r="Z128" s="118">
        <v>1</v>
      </c>
      <c r="AA128" s="111"/>
      <c r="AB128" s="117" t="str">
        <f>VLOOKUP(O128,{"甲级","1.2";"乙级","1";"丙级","0.8";"物探","0.22"},2,0)</f>
        <v>0.22</v>
      </c>
      <c r="AC128" s="111"/>
      <c r="AD128" s="130">
        <f t="shared" si="25"/>
        <v>-3600</v>
      </c>
      <c r="AE128" s="130">
        <f t="shared" si="26"/>
        <v>-1</v>
      </c>
      <c r="AF128" s="130">
        <f t="shared" si="27"/>
        <v>-0.22</v>
      </c>
      <c r="AG128" s="131"/>
      <c r="AH128" s="131"/>
      <c r="AI128" s="131"/>
      <c r="AJ128" s="131"/>
      <c r="AK128" s="131"/>
      <c r="AL128" s="131"/>
      <c r="AM128" s="131"/>
      <c r="AN128" s="131"/>
      <c r="AO128" s="131"/>
    </row>
    <row r="129" spans="1:41" s="47" customFormat="1" ht="14.4" x14ac:dyDescent="0.25">
      <c r="A129" s="14">
        <v>125</v>
      </c>
      <c r="B129" s="209"/>
      <c r="C129" s="209" t="s">
        <v>367</v>
      </c>
      <c r="D129" s="210" t="s">
        <v>231</v>
      </c>
      <c r="E129" s="89" t="s">
        <v>181</v>
      </c>
      <c r="F129" s="14"/>
      <c r="G129" s="147" t="s">
        <v>229</v>
      </c>
      <c r="H129" s="167"/>
      <c r="I129" s="17"/>
      <c r="J129" s="17"/>
      <c r="K129" s="17"/>
      <c r="L129" s="17"/>
      <c r="M129" s="163"/>
      <c r="N129" s="165">
        <f t="shared" si="37"/>
        <v>0</v>
      </c>
      <c r="O129" s="14" t="s">
        <v>196</v>
      </c>
      <c r="P129" s="38"/>
      <c r="Q129" s="165">
        <f t="shared" si="38"/>
        <v>0</v>
      </c>
      <c r="R129" s="165">
        <f t="shared" si="39"/>
        <v>0</v>
      </c>
      <c r="S129" s="17" t="s">
        <v>197</v>
      </c>
      <c r="T129" s="17"/>
      <c r="U129" s="104"/>
      <c r="W129" s="154"/>
      <c r="X129" s="119">
        <v>27</v>
      </c>
      <c r="Y129" s="111"/>
      <c r="Z129" s="118">
        <v>1</v>
      </c>
      <c r="AA129" s="111"/>
      <c r="AB129" s="117" t="str">
        <f>VLOOKUP(O129,{"甲级","1.2";"乙级","1";"丙级","0.8";"物探","0.22"},2,0)</f>
        <v>0.22</v>
      </c>
      <c r="AC129" s="111"/>
      <c r="AD129" s="130">
        <f t="shared" si="25"/>
        <v>-27</v>
      </c>
      <c r="AE129" s="130">
        <f t="shared" si="26"/>
        <v>-1</v>
      </c>
      <c r="AF129" s="130">
        <f t="shared" si="27"/>
        <v>-0.22</v>
      </c>
      <c r="AG129" s="131"/>
      <c r="AH129" s="131"/>
      <c r="AI129" s="131"/>
      <c r="AJ129" s="131"/>
      <c r="AK129" s="131"/>
      <c r="AL129" s="131"/>
      <c r="AM129" s="131"/>
      <c r="AN129" s="131"/>
      <c r="AO129" s="131"/>
    </row>
    <row r="130" spans="1:41" s="47" customFormat="1" ht="14.4" x14ac:dyDescent="0.25">
      <c r="A130" s="14">
        <v>126</v>
      </c>
      <c r="B130" s="209"/>
      <c r="C130" s="209"/>
      <c r="D130" s="210"/>
      <c r="E130" s="89" t="s">
        <v>232</v>
      </c>
      <c r="F130" s="14"/>
      <c r="G130" s="147" t="s">
        <v>229</v>
      </c>
      <c r="H130" s="167"/>
      <c r="I130" s="17"/>
      <c r="J130" s="17"/>
      <c r="K130" s="17"/>
      <c r="L130" s="17"/>
      <c r="M130" s="163"/>
      <c r="N130" s="165">
        <f t="shared" si="37"/>
        <v>0</v>
      </c>
      <c r="O130" s="14" t="s">
        <v>196</v>
      </c>
      <c r="P130" s="38"/>
      <c r="Q130" s="165">
        <f t="shared" si="38"/>
        <v>0</v>
      </c>
      <c r="R130" s="165">
        <f t="shared" si="39"/>
        <v>0</v>
      </c>
      <c r="S130" s="17" t="s">
        <v>197</v>
      </c>
      <c r="T130" s="17"/>
      <c r="U130" s="104"/>
      <c r="W130" s="154"/>
      <c r="X130" s="119">
        <v>36</v>
      </c>
      <c r="Y130" s="111"/>
      <c r="Z130" s="118">
        <v>1</v>
      </c>
      <c r="AA130" s="111"/>
      <c r="AB130" s="117" t="str">
        <f>VLOOKUP(O130,{"甲级","1.2";"乙级","1";"丙级","0.8";"物探","0.22"},2,0)</f>
        <v>0.22</v>
      </c>
      <c r="AC130" s="111"/>
      <c r="AD130" s="130">
        <f t="shared" si="25"/>
        <v>-36</v>
      </c>
      <c r="AE130" s="130">
        <f t="shared" si="26"/>
        <v>-1</v>
      </c>
      <c r="AF130" s="130">
        <f t="shared" si="27"/>
        <v>-0.22</v>
      </c>
      <c r="AG130" s="131"/>
      <c r="AH130" s="131"/>
      <c r="AI130" s="131"/>
      <c r="AJ130" s="131"/>
      <c r="AK130" s="131"/>
      <c r="AL130" s="131"/>
      <c r="AM130" s="131"/>
      <c r="AN130" s="131"/>
      <c r="AO130" s="131"/>
    </row>
    <row r="131" spans="1:41" s="47" customFormat="1" ht="14.4" x14ac:dyDescent="0.25">
      <c r="A131" s="14">
        <v>127</v>
      </c>
      <c r="B131" s="209"/>
      <c r="C131" s="209"/>
      <c r="D131" s="210"/>
      <c r="E131" s="89" t="s">
        <v>214</v>
      </c>
      <c r="F131" s="14"/>
      <c r="G131" s="147" t="s">
        <v>229</v>
      </c>
      <c r="H131" s="167"/>
      <c r="I131" s="17"/>
      <c r="J131" s="17"/>
      <c r="K131" s="17"/>
      <c r="L131" s="17"/>
      <c r="M131" s="163"/>
      <c r="N131" s="165">
        <f t="shared" si="37"/>
        <v>0</v>
      </c>
      <c r="O131" s="14" t="s">
        <v>196</v>
      </c>
      <c r="P131" s="38"/>
      <c r="Q131" s="165">
        <f t="shared" si="38"/>
        <v>0</v>
      </c>
      <c r="R131" s="165">
        <f t="shared" si="39"/>
        <v>0</v>
      </c>
      <c r="S131" s="17" t="s">
        <v>197</v>
      </c>
      <c r="T131" s="17"/>
      <c r="U131" s="104"/>
      <c r="W131" s="154"/>
      <c r="X131" s="119">
        <v>54</v>
      </c>
      <c r="Y131" s="111"/>
      <c r="Z131" s="118">
        <v>1</v>
      </c>
      <c r="AA131" s="111"/>
      <c r="AB131" s="117" t="str">
        <f>VLOOKUP(O131,{"甲级","1.2";"乙级","1";"丙级","0.8";"物探","0.22"},2,0)</f>
        <v>0.22</v>
      </c>
      <c r="AC131" s="111"/>
      <c r="AD131" s="130">
        <f t="shared" si="25"/>
        <v>-54</v>
      </c>
      <c r="AE131" s="130">
        <f t="shared" si="26"/>
        <v>-1</v>
      </c>
      <c r="AF131" s="130">
        <f t="shared" si="27"/>
        <v>-0.22</v>
      </c>
      <c r="AG131" s="131"/>
      <c r="AH131" s="131"/>
      <c r="AI131" s="131"/>
      <c r="AJ131" s="131"/>
      <c r="AK131" s="131"/>
      <c r="AL131" s="131"/>
      <c r="AM131" s="131"/>
      <c r="AN131" s="131"/>
      <c r="AO131" s="131"/>
    </row>
    <row r="132" spans="1:41" s="47" customFormat="1" ht="14.4" x14ac:dyDescent="0.25">
      <c r="A132" s="14">
        <v>128</v>
      </c>
      <c r="B132" s="209"/>
      <c r="C132" s="209" t="s">
        <v>233</v>
      </c>
      <c r="D132" s="216" t="s">
        <v>234</v>
      </c>
      <c r="E132" s="216"/>
      <c r="F132" s="14" t="s">
        <v>235</v>
      </c>
      <c r="G132" s="17" t="s">
        <v>33</v>
      </c>
      <c r="H132" s="167"/>
      <c r="I132" s="17"/>
      <c r="J132" s="17"/>
      <c r="K132" s="17"/>
      <c r="L132" s="17"/>
      <c r="M132" s="163"/>
      <c r="N132" s="165">
        <f t="shared" si="37"/>
        <v>0</v>
      </c>
      <c r="O132" s="14" t="s">
        <v>196</v>
      </c>
      <c r="P132" s="38"/>
      <c r="Q132" s="165">
        <f t="shared" si="38"/>
        <v>0</v>
      </c>
      <c r="R132" s="165">
        <f t="shared" si="39"/>
        <v>0</v>
      </c>
      <c r="S132" s="17" t="s">
        <v>197</v>
      </c>
      <c r="T132" s="17"/>
      <c r="U132" s="104"/>
      <c r="W132" s="154"/>
      <c r="X132" s="119" t="str">
        <f>VLOOKUP(F132,{"简单","1800";"中等","3600";"复杂","6300"},2,0)</f>
        <v>1800</v>
      </c>
      <c r="Y132" s="111"/>
      <c r="Z132" s="118">
        <v>1</v>
      </c>
      <c r="AA132" s="111"/>
      <c r="AB132" s="117" t="str">
        <f>VLOOKUP(O132,{"甲级","1.2";"乙级","1";"丙级","0.8";"物探","0.22"},2,0)</f>
        <v>0.22</v>
      </c>
      <c r="AC132" s="111"/>
      <c r="AD132" s="130">
        <f t="shared" si="25"/>
        <v>-1800</v>
      </c>
      <c r="AE132" s="130">
        <f t="shared" si="26"/>
        <v>-1</v>
      </c>
      <c r="AF132" s="130">
        <f t="shared" si="27"/>
        <v>-0.22</v>
      </c>
      <c r="AG132" s="131"/>
      <c r="AH132" s="131"/>
      <c r="AI132" s="131"/>
      <c r="AJ132" s="131"/>
      <c r="AK132" s="131"/>
      <c r="AL132" s="131"/>
      <c r="AM132" s="131"/>
      <c r="AN132" s="131"/>
      <c r="AO132" s="131"/>
    </row>
    <row r="133" spans="1:41" s="47" customFormat="1" ht="14.4" x14ac:dyDescent="0.25">
      <c r="A133" s="14">
        <v>129</v>
      </c>
      <c r="B133" s="209"/>
      <c r="C133" s="209"/>
      <c r="D133" s="216" t="s">
        <v>236</v>
      </c>
      <c r="E133" s="216"/>
      <c r="F133" s="14" t="s">
        <v>235</v>
      </c>
      <c r="G133" s="17" t="s">
        <v>33</v>
      </c>
      <c r="H133" s="167"/>
      <c r="I133" s="17"/>
      <c r="J133" s="17"/>
      <c r="K133" s="17"/>
      <c r="L133" s="17"/>
      <c r="M133" s="163"/>
      <c r="N133" s="165">
        <f t="shared" si="37"/>
        <v>0</v>
      </c>
      <c r="O133" s="14" t="s">
        <v>196</v>
      </c>
      <c r="P133" s="38"/>
      <c r="Q133" s="165">
        <f t="shared" si="38"/>
        <v>0</v>
      </c>
      <c r="R133" s="165">
        <f t="shared" si="39"/>
        <v>0</v>
      </c>
      <c r="S133" s="17" t="s">
        <v>197</v>
      </c>
      <c r="T133" s="17"/>
      <c r="U133" s="104"/>
      <c r="W133" s="154"/>
      <c r="X133" s="119" t="str">
        <f>VLOOKUP(F133,{"简单","2250";"中等","4500";"复杂","7200"},2,0)</f>
        <v>2250</v>
      </c>
      <c r="Y133" s="111"/>
      <c r="Z133" s="118">
        <v>1</v>
      </c>
      <c r="AA133" s="111"/>
      <c r="AB133" s="117" t="str">
        <f>VLOOKUP(O133,{"甲级","1.2";"乙级","1";"丙级","0.8";"物探","0.22"},2,0)</f>
        <v>0.22</v>
      </c>
      <c r="AC133" s="111"/>
      <c r="AD133" s="130">
        <f t="shared" si="25"/>
        <v>-2250</v>
      </c>
      <c r="AE133" s="130">
        <f t="shared" si="26"/>
        <v>-1</v>
      </c>
      <c r="AF133" s="130">
        <f t="shared" si="27"/>
        <v>-0.22</v>
      </c>
      <c r="AG133" s="131"/>
      <c r="AH133" s="131"/>
      <c r="AI133" s="131"/>
      <c r="AJ133" s="131"/>
      <c r="AK133" s="131"/>
      <c r="AL133" s="131"/>
      <c r="AM133" s="131"/>
      <c r="AN133" s="131"/>
      <c r="AO133" s="131"/>
    </row>
    <row r="134" spans="1:41" s="47" customFormat="1" ht="14.4" x14ac:dyDescent="0.25">
      <c r="A134" s="14">
        <v>130</v>
      </c>
      <c r="B134" s="209"/>
      <c r="C134" s="209"/>
      <c r="D134" s="216" t="s">
        <v>237</v>
      </c>
      <c r="E134" s="216"/>
      <c r="F134" s="14" t="s">
        <v>235</v>
      </c>
      <c r="G134" s="17" t="s">
        <v>33</v>
      </c>
      <c r="H134" s="167"/>
      <c r="I134" s="17"/>
      <c r="J134" s="17"/>
      <c r="K134" s="17"/>
      <c r="L134" s="17"/>
      <c r="M134" s="163"/>
      <c r="N134" s="165">
        <f t="shared" si="37"/>
        <v>0</v>
      </c>
      <c r="O134" s="14" t="s">
        <v>196</v>
      </c>
      <c r="P134" s="38"/>
      <c r="Q134" s="165">
        <f t="shared" si="38"/>
        <v>0</v>
      </c>
      <c r="R134" s="165">
        <f t="shared" si="39"/>
        <v>0</v>
      </c>
      <c r="S134" s="17" t="s">
        <v>197</v>
      </c>
      <c r="T134" s="17"/>
      <c r="U134" s="104"/>
      <c r="W134" s="154"/>
      <c r="X134" s="119" t="str">
        <f>VLOOKUP(F134,{"简单","2700";"中等","5400";"复杂","9000"},2,0)</f>
        <v>2700</v>
      </c>
      <c r="Y134" s="111"/>
      <c r="Z134" s="118">
        <v>1</v>
      </c>
      <c r="AA134" s="111"/>
      <c r="AB134" s="117" t="str">
        <f>VLOOKUP(O134,{"甲级","1.2";"乙级","1";"丙级","0.8";"物探","0.22"},2,0)</f>
        <v>0.22</v>
      </c>
      <c r="AC134" s="111"/>
      <c r="AD134" s="130">
        <f t="shared" ref="AD134:AD197" si="40">H134+AG134-X134</f>
        <v>-2700</v>
      </c>
      <c r="AE134" s="130">
        <f t="shared" ref="AE134:AE197" si="41">M134+AH134-Z134</f>
        <v>-1</v>
      </c>
      <c r="AF134" s="130">
        <f t="shared" ref="AF134:AF197" si="42">P134+AI134-AB134</f>
        <v>-0.22</v>
      </c>
      <c r="AG134" s="131"/>
      <c r="AH134" s="131"/>
      <c r="AI134" s="131"/>
      <c r="AJ134" s="131"/>
      <c r="AK134" s="131"/>
      <c r="AL134" s="131"/>
      <c r="AM134" s="131"/>
      <c r="AN134" s="131"/>
      <c r="AO134" s="131"/>
    </row>
    <row r="135" spans="1:41" s="47" customFormat="1" ht="14.4" x14ac:dyDescent="0.25">
      <c r="A135" s="14">
        <v>131</v>
      </c>
      <c r="B135" s="209"/>
      <c r="C135" s="209"/>
      <c r="D135" s="216" t="s">
        <v>238</v>
      </c>
      <c r="E135" s="216"/>
      <c r="F135" s="14" t="s">
        <v>235</v>
      </c>
      <c r="G135" s="17" t="s">
        <v>33</v>
      </c>
      <c r="H135" s="167"/>
      <c r="I135" s="17"/>
      <c r="J135" s="17"/>
      <c r="K135" s="17"/>
      <c r="L135" s="17"/>
      <c r="M135" s="163"/>
      <c r="N135" s="165">
        <f t="shared" si="37"/>
        <v>0</v>
      </c>
      <c r="O135" s="14" t="s">
        <v>196</v>
      </c>
      <c r="P135" s="38"/>
      <c r="Q135" s="165">
        <f t="shared" si="38"/>
        <v>0</v>
      </c>
      <c r="R135" s="165">
        <f t="shared" si="39"/>
        <v>0</v>
      </c>
      <c r="S135" s="17" t="s">
        <v>197</v>
      </c>
      <c r="T135" s="17"/>
      <c r="U135" s="104"/>
      <c r="W135" s="154"/>
      <c r="X135" s="119" t="str">
        <f>VLOOKUP(F135,{"简单","1350";"中等","2700";"复杂","5400"},2,0)</f>
        <v>1350</v>
      </c>
      <c r="Y135" s="111"/>
      <c r="Z135" s="118">
        <v>1</v>
      </c>
      <c r="AA135" s="111"/>
      <c r="AB135" s="117" t="str">
        <f>VLOOKUP(O135,{"甲级","1.2";"乙级","1";"丙级","0.8";"物探","0.22"},2,0)</f>
        <v>0.22</v>
      </c>
      <c r="AC135" s="111"/>
      <c r="AD135" s="130">
        <f t="shared" si="40"/>
        <v>-1350</v>
      </c>
      <c r="AE135" s="130">
        <f t="shared" si="41"/>
        <v>-1</v>
      </c>
      <c r="AF135" s="130">
        <f t="shared" si="42"/>
        <v>-0.22</v>
      </c>
      <c r="AG135" s="131"/>
      <c r="AH135" s="131"/>
      <c r="AI135" s="131"/>
      <c r="AJ135" s="131"/>
      <c r="AK135" s="131"/>
      <c r="AL135" s="131"/>
      <c r="AM135" s="131"/>
      <c r="AN135" s="131"/>
      <c r="AO135" s="131"/>
    </row>
    <row r="136" spans="1:41" s="47" customFormat="1" ht="14.4" x14ac:dyDescent="0.25">
      <c r="A136" s="14">
        <v>132</v>
      </c>
      <c r="B136" s="209"/>
      <c r="C136" s="209"/>
      <c r="D136" s="216" t="s">
        <v>93</v>
      </c>
      <c r="E136" s="216"/>
      <c r="F136" s="14" t="s">
        <v>235</v>
      </c>
      <c r="G136" s="17" t="s">
        <v>396</v>
      </c>
      <c r="H136" s="167"/>
      <c r="I136" s="17"/>
      <c r="J136" s="17"/>
      <c r="K136" s="17"/>
      <c r="L136" s="17"/>
      <c r="M136" s="163"/>
      <c r="N136" s="165">
        <f t="shared" si="37"/>
        <v>0</v>
      </c>
      <c r="O136" s="14" t="s">
        <v>196</v>
      </c>
      <c r="P136" s="38"/>
      <c r="Q136" s="165">
        <f t="shared" si="38"/>
        <v>0</v>
      </c>
      <c r="R136" s="165">
        <f t="shared" si="39"/>
        <v>0</v>
      </c>
      <c r="S136" s="17" t="s">
        <v>197</v>
      </c>
      <c r="T136" s="17"/>
      <c r="U136" s="104"/>
      <c r="W136" s="154"/>
      <c r="X136" s="119" t="str">
        <f>VLOOKUP(F136,{"简单","1";"中等","1.5";"复杂","3"},2,0)</f>
        <v>1</v>
      </c>
      <c r="Y136" s="111"/>
      <c r="Z136" s="118">
        <v>1</v>
      </c>
      <c r="AA136" s="111"/>
      <c r="AB136" s="117" t="str">
        <f>VLOOKUP(O136,{"甲级","1.2";"乙级","1";"丙级","0.8";"物探","0.22"},2,0)</f>
        <v>0.22</v>
      </c>
      <c r="AC136" s="111"/>
      <c r="AD136" s="130">
        <f t="shared" si="40"/>
        <v>-1</v>
      </c>
      <c r="AE136" s="130">
        <f t="shared" si="41"/>
        <v>-1</v>
      </c>
      <c r="AF136" s="130">
        <f t="shared" si="42"/>
        <v>-0.22</v>
      </c>
      <c r="AG136" s="131"/>
      <c r="AH136" s="131"/>
      <c r="AI136" s="131"/>
      <c r="AJ136" s="131"/>
      <c r="AK136" s="131"/>
      <c r="AL136" s="131"/>
      <c r="AM136" s="131"/>
      <c r="AN136" s="131"/>
      <c r="AO136" s="131"/>
    </row>
    <row r="137" spans="1:41" s="47" customFormat="1" ht="24" x14ac:dyDescent="0.25">
      <c r="A137" s="14">
        <v>133</v>
      </c>
      <c r="B137" s="209"/>
      <c r="C137" s="211" t="s">
        <v>239</v>
      </c>
      <c r="D137" s="208" t="s">
        <v>240</v>
      </c>
      <c r="E137" s="208"/>
      <c r="F137" s="14"/>
      <c r="G137" s="17" t="s">
        <v>110</v>
      </c>
      <c r="H137" s="167"/>
      <c r="I137" s="17">
        <v>2290</v>
      </c>
      <c r="J137" s="17"/>
      <c r="K137" s="17"/>
      <c r="L137" s="17"/>
      <c r="M137" s="163"/>
      <c r="N137" s="165">
        <f t="shared" si="37"/>
        <v>0</v>
      </c>
      <c r="O137" s="14" t="s">
        <v>196</v>
      </c>
      <c r="P137" s="38"/>
      <c r="Q137" s="165">
        <f t="shared" si="38"/>
        <v>0</v>
      </c>
      <c r="R137" s="165">
        <f t="shared" si="39"/>
        <v>0</v>
      </c>
      <c r="S137" s="17" t="s">
        <v>197</v>
      </c>
      <c r="T137" s="17" t="s">
        <v>198</v>
      </c>
      <c r="U137" s="104"/>
      <c r="W137" s="154"/>
      <c r="X137" s="119">
        <v>45</v>
      </c>
      <c r="Y137" s="111"/>
      <c r="Z137" s="118">
        <v>1.7</v>
      </c>
      <c r="AA137" s="111"/>
      <c r="AB137" s="117" t="str">
        <f>VLOOKUP(O137,{"甲级","1.2";"乙级","1";"丙级","0.8";"物探","0.22"},2,0)</f>
        <v>0.22</v>
      </c>
      <c r="AC137" s="111"/>
      <c r="AD137" s="130">
        <f t="shared" si="40"/>
        <v>-45</v>
      </c>
      <c r="AE137" s="130">
        <f t="shared" si="41"/>
        <v>-1.7</v>
      </c>
      <c r="AF137" s="130">
        <f t="shared" si="42"/>
        <v>-0.22</v>
      </c>
      <c r="AG137" s="131"/>
      <c r="AH137" s="131"/>
      <c r="AI137" s="131"/>
      <c r="AJ137" s="131"/>
      <c r="AK137" s="131"/>
      <c r="AL137" s="131"/>
      <c r="AM137" s="131"/>
      <c r="AN137" s="131"/>
      <c r="AO137" s="131"/>
    </row>
    <row r="138" spans="1:41" s="47" customFormat="1" ht="24" x14ac:dyDescent="0.25">
      <c r="A138" s="14">
        <v>134</v>
      </c>
      <c r="B138" s="209"/>
      <c r="C138" s="212"/>
      <c r="D138" s="222" t="s">
        <v>527</v>
      </c>
      <c r="E138" s="223"/>
      <c r="F138" s="14"/>
      <c r="G138" s="17" t="s">
        <v>110</v>
      </c>
      <c r="H138" s="167"/>
      <c r="I138" s="17">
        <v>2290</v>
      </c>
      <c r="J138" s="17"/>
      <c r="K138" s="17"/>
      <c r="L138" s="17"/>
      <c r="M138" s="163"/>
      <c r="N138" s="165">
        <f t="shared" si="37"/>
        <v>0</v>
      </c>
      <c r="O138" s="14" t="s">
        <v>196</v>
      </c>
      <c r="P138" s="38"/>
      <c r="Q138" s="165">
        <f t="shared" si="38"/>
        <v>0</v>
      </c>
      <c r="R138" s="165">
        <f t="shared" si="39"/>
        <v>0</v>
      </c>
      <c r="S138" s="17" t="s">
        <v>432</v>
      </c>
      <c r="T138" s="17" t="s">
        <v>198</v>
      </c>
      <c r="U138" s="104"/>
      <c r="W138" s="154"/>
      <c r="X138" s="119">
        <v>211</v>
      </c>
      <c r="Y138" s="111"/>
      <c r="Z138" s="118">
        <v>1.7</v>
      </c>
      <c r="AA138" s="111"/>
      <c r="AB138" s="117" t="str">
        <f>VLOOKUP(O138,{"甲级","1.2";"乙级","1";"丙级","0.8";"物探","0.22"},2,0)</f>
        <v>0.22</v>
      </c>
      <c r="AC138" s="111"/>
      <c r="AD138" s="130">
        <f t="shared" si="40"/>
        <v>-211</v>
      </c>
      <c r="AE138" s="130">
        <f t="shared" si="41"/>
        <v>-1.7</v>
      </c>
      <c r="AF138" s="130">
        <f t="shared" si="42"/>
        <v>-0.22</v>
      </c>
      <c r="AG138" s="131"/>
      <c r="AH138" s="131"/>
      <c r="AI138" s="131"/>
      <c r="AJ138" s="131"/>
      <c r="AK138" s="131"/>
      <c r="AL138" s="131"/>
      <c r="AM138" s="131"/>
      <c r="AN138" s="131"/>
      <c r="AO138" s="131"/>
    </row>
    <row r="139" spans="1:41" s="47" customFormat="1" ht="24" x14ac:dyDescent="0.25">
      <c r="A139" s="14">
        <v>135</v>
      </c>
      <c r="B139" s="209"/>
      <c r="C139" s="155" t="s">
        <v>241</v>
      </c>
      <c r="D139" s="222" t="s">
        <v>528</v>
      </c>
      <c r="E139" s="223"/>
      <c r="F139" s="14" t="s">
        <v>206</v>
      </c>
      <c r="G139" s="17" t="s">
        <v>51</v>
      </c>
      <c r="H139" s="167"/>
      <c r="I139" s="17"/>
      <c r="J139" s="17"/>
      <c r="K139" s="17"/>
      <c r="L139" s="17"/>
      <c r="M139" s="163"/>
      <c r="N139" s="165">
        <f t="shared" si="37"/>
        <v>0</v>
      </c>
      <c r="O139" s="14" t="s">
        <v>196</v>
      </c>
      <c r="P139" s="38"/>
      <c r="Q139" s="165">
        <f t="shared" si="38"/>
        <v>0</v>
      </c>
      <c r="R139" s="165">
        <f t="shared" si="39"/>
        <v>0</v>
      </c>
      <c r="S139" s="17" t="s">
        <v>197</v>
      </c>
      <c r="T139" s="17"/>
      <c r="U139" s="104"/>
      <c r="W139" s="154"/>
      <c r="X139" s="119">
        <f>30*0.8</f>
        <v>24</v>
      </c>
      <c r="Y139" s="111"/>
      <c r="Z139" s="118">
        <v>1</v>
      </c>
      <c r="AA139" s="111"/>
      <c r="AB139" s="117" t="str">
        <f>VLOOKUP(O139,{"甲级","1.2";"乙级","1";"丙级","0.8";"物探","0.22"},2,0)</f>
        <v>0.22</v>
      </c>
      <c r="AC139" s="111"/>
      <c r="AD139" s="130">
        <f t="shared" si="40"/>
        <v>-24</v>
      </c>
      <c r="AE139" s="130">
        <f t="shared" si="41"/>
        <v>-1</v>
      </c>
      <c r="AF139" s="130">
        <f t="shared" si="42"/>
        <v>-0.22</v>
      </c>
      <c r="AG139" s="131"/>
      <c r="AH139" s="131"/>
      <c r="AI139" s="131"/>
      <c r="AJ139" s="131"/>
      <c r="AK139" s="131"/>
      <c r="AL139" s="131"/>
      <c r="AM139" s="131"/>
      <c r="AN139" s="131"/>
      <c r="AO139" s="131"/>
    </row>
    <row r="140" spans="1:41" s="47" customFormat="1" ht="14.4" x14ac:dyDescent="0.25">
      <c r="A140" s="14">
        <v>136</v>
      </c>
      <c r="B140" s="209"/>
      <c r="C140" s="205" t="s">
        <v>242</v>
      </c>
      <c r="D140" s="225" t="s">
        <v>243</v>
      </c>
      <c r="E140" s="37" t="s">
        <v>244</v>
      </c>
      <c r="F140" s="14" t="s">
        <v>245</v>
      </c>
      <c r="G140" s="17" t="s">
        <v>110</v>
      </c>
      <c r="H140" s="162"/>
      <c r="I140" s="17">
        <v>60</v>
      </c>
      <c r="J140" s="17"/>
      <c r="K140" s="17"/>
      <c r="L140" s="17"/>
      <c r="M140" s="163"/>
      <c r="N140" s="165">
        <f t="shared" ref="N140:N160" si="43">H140*I140*M140</f>
        <v>0</v>
      </c>
      <c r="O140" s="14" t="s">
        <v>196</v>
      </c>
      <c r="P140" s="38"/>
      <c r="Q140" s="165">
        <f t="shared" ref="Q140:Q160" si="44">N140*P140</f>
        <v>0</v>
      </c>
      <c r="R140" s="165">
        <f t="shared" ref="R140:R160" si="45">N140+Q140</f>
        <v>0</v>
      </c>
      <c r="S140" s="17" t="s">
        <v>197</v>
      </c>
      <c r="T140" s="17"/>
      <c r="U140" s="104"/>
      <c r="W140" s="154"/>
      <c r="X140" s="119">
        <v>135</v>
      </c>
      <c r="Y140" s="111"/>
      <c r="Z140" s="118">
        <v>1</v>
      </c>
      <c r="AA140" s="111"/>
      <c r="AB140" s="117" t="str">
        <f>VLOOKUP(O140,{"甲级","1.2";"乙级","1";"丙级","0.8";"物探","0.22"},2,0)</f>
        <v>0.22</v>
      </c>
      <c r="AC140" s="111"/>
      <c r="AD140" s="130">
        <f t="shared" si="40"/>
        <v>-135</v>
      </c>
      <c r="AE140" s="130">
        <f t="shared" si="41"/>
        <v>-1</v>
      </c>
      <c r="AF140" s="130">
        <f t="shared" si="42"/>
        <v>-0.22</v>
      </c>
      <c r="AG140" s="131"/>
      <c r="AH140" s="131"/>
      <c r="AI140" s="131"/>
      <c r="AJ140" s="131"/>
      <c r="AK140" s="131"/>
      <c r="AL140" s="131"/>
      <c r="AM140" s="131"/>
      <c r="AN140" s="131"/>
      <c r="AO140" s="131"/>
    </row>
    <row r="141" spans="1:41" s="47" customFormat="1" ht="14.4" x14ac:dyDescent="0.25">
      <c r="A141" s="14">
        <v>137</v>
      </c>
      <c r="B141" s="209"/>
      <c r="C141" s="206"/>
      <c r="D141" s="226"/>
      <c r="E141" s="37" t="s">
        <v>246</v>
      </c>
      <c r="F141" s="14" t="s">
        <v>245</v>
      </c>
      <c r="G141" s="17" t="s">
        <v>110</v>
      </c>
      <c r="H141" s="162"/>
      <c r="I141" s="17">
        <v>20</v>
      </c>
      <c r="J141" s="17"/>
      <c r="K141" s="17"/>
      <c r="L141" s="17"/>
      <c r="M141" s="163"/>
      <c r="N141" s="165">
        <f t="shared" si="43"/>
        <v>0</v>
      </c>
      <c r="O141" s="14" t="s">
        <v>196</v>
      </c>
      <c r="P141" s="38"/>
      <c r="Q141" s="165">
        <f t="shared" si="44"/>
        <v>0</v>
      </c>
      <c r="R141" s="165">
        <f t="shared" si="45"/>
        <v>0</v>
      </c>
      <c r="S141" s="17" t="s">
        <v>197</v>
      </c>
      <c r="T141" s="17"/>
      <c r="U141" s="104"/>
      <c r="W141" s="154"/>
      <c r="X141" s="119">
        <v>162</v>
      </c>
      <c r="Y141" s="111"/>
      <c r="Z141" s="118">
        <v>1</v>
      </c>
      <c r="AA141" s="111"/>
      <c r="AB141" s="117" t="str">
        <f>VLOOKUP(O141,{"甲级","1.2";"乙级","1";"丙级","0.8";"物探","0.22"},2,0)</f>
        <v>0.22</v>
      </c>
      <c r="AC141" s="111"/>
      <c r="AD141" s="130">
        <f t="shared" si="40"/>
        <v>-162</v>
      </c>
      <c r="AE141" s="130">
        <f t="shared" si="41"/>
        <v>-1</v>
      </c>
      <c r="AF141" s="130">
        <f t="shared" si="42"/>
        <v>-0.22</v>
      </c>
      <c r="AG141" s="131"/>
      <c r="AH141" s="131"/>
      <c r="AI141" s="131"/>
      <c r="AJ141" s="131"/>
      <c r="AK141" s="131"/>
      <c r="AL141" s="131"/>
      <c r="AM141" s="131"/>
      <c r="AN141" s="131"/>
      <c r="AO141" s="131"/>
    </row>
    <row r="142" spans="1:41" s="47" customFormat="1" ht="14.4" x14ac:dyDescent="0.25">
      <c r="A142" s="14">
        <v>138</v>
      </c>
      <c r="B142" s="209"/>
      <c r="C142" s="206"/>
      <c r="D142" s="226"/>
      <c r="E142" s="37" t="s">
        <v>204</v>
      </c>
      <c r="F142" s="14" t="s">
        <v>245</v>
      </c>
      <c r="G142" s="17" t="s">
        <v>110</v>
      </c>
      <c r="H142" s="162"/>
      <c r="I142" s="17"/>
      <c r="J142" s="17"/>
      <c r="K142" s="17"/>
      <c r="L142" s="17"/>
      <c r="M142" s="163"/>
      <c r="N142" s="165">
        <f t="shared" si="43"/>
        <v>0</v>
      </c>
      <c r="O142" s="14" t="s">
        <v>196</v>
      </c>
      <c r="P142" s="38"/>
      <c r="Q142" s="165">
        <f t="shared" si="44"/>
        <v>0</v>
      </c>
      <c r="R142" s="165">
        <f t="shared" si="45"/>
        <v>0</v>
      </c>
      <c r="S142" s="17" t="s">
        <v>197</v>
      </c>
      <c r="T142" s="17"/>
      <c r="U142" s="104"/>
      <c r="W142" s="154"/>
      <c r="X142" s="119">
        <v>216</v>
      </c>
      <c r="Y142" s="111"/>
      <c r="Z142" s="118">
        <v>1</v>
      </c>
      <c r="AA142" s="111"/>
      <c r="AB142" s="117" t="str">
        <f>VLOOKUP(O142,{"甲级","1.2";"乙级","1";"丙级","0.8";"物探","0.22"},2,0)</f>
        <v>0.22</v>
      </c>
      <c r="AC142" s="111"/>
      <c r="AD142" s="130">
        <f t="shared" si="40"/>
        <v>-216</v>
      </c>
      <c r="AE142" s="130">
        <f t="shared" si="41"/>
        <v>-1</v>
      </c>
      <c r="AF142" s="130">
        <f t="shared" si="42"/>
        <v>-0.22</v>
      </c>
      <c r="AG142" s="131"/>
      <c r="AH142" s="131"/>
      <c r="AI142" s="131"/>
      <c r="AJ142" s="131"/>
      <c r="AK142" s="131"/>
      <c r="AL142" s="131"/>
      <c r="AM142" s="131"/>
      <c r="AN142" s="131"/>
      <c r="AO142" s="131"/>
    </row>
    <row r="143" spans="1:41" s="47" customFormat="1" ht="24" x14ac:dyDescent="0.25">
      <c r="A143" s="14">
        <v>139</v>
      </c>
      <c r="B143" s="209"/>
      <c r="C143" s="206"/>
      <c r="D143" s="226"/>
      <c r="E143" s="37" t="s">
        <v>247</v>
      </c>
      <c r="F143" s="14" t="s">
        <v>245</v>
      </c>
      <c r="G143" s="17" t="s">
        <v>110</v>
      </c>
      <c r="H143" s="162"/>
      <c r="I143" s="17"/>
      <c r="J143" s="17"/>
      <c r="K143" s="17"/>
      <c r="L143" s="17" t="s">
        <v>248</v>
      </c>
      <c r="M143" s="163"/>
      <c r="N143" s="165">
        <f t="shared" si="43"/>
        <v>0</v>
      </c>
      <c r="O143" s="14" t="s">
        <v>196</v>
      </c>
      <c r="P143" s="38"/>
      <c r="Q143" s="165">
        <f t="shared" si="44"/>
        <v>0</v>
      </c>
      <c r="R143" s="165">
        <f t="shared" si="45"/>
        <v>0</v>
      </c>
      <c r="S143" s="17"/>
      <c r="T143" s="17"/>
      <c r="U143" s="104"/>
      <c r="W143" s="154"/>
      <c r="X143" s="119">
        <v>280.8</v>
      </c>
      <c r="Y143" s="111"/>
      <c r="Z143" s="118">
        <v>1</v>
      </c>
      <c r="AA143" s="111"/>
      <c r="AB143" s="117" t="str">
        <f>VLOOKUP(O143,{"甲级","1.2";"乙级","1";"丙级","0.8";"物探","0.22"},2,0)</f>
        <v>0.22</v>
      </c>
      <c r="AC143" s="111"/>
      <c r="AD143" s="130">
        <f t="shared" si="40"/>
        <v>-280.8</v>
      </c>
      <c r="AE143" s="130">
        <f t="shared" si="41"/>
        <v>-1</v>
      </c>
      <c r="AF143" s="130">
        <f t="shared" si="42"/>
        <v>-0.22</v>
      </c>
      <c r="AG143" s="131"/>
      <c r="AH143" s="131"/>
      <c r="AI143" s="131"/>
      <c r="AJ143" s="131"/>
      <c r="AK143" s="131"/>
      <c r="AL143" s="131"/>
      <c r="AM143" s="131"/>
      <c r="AN143" s="131"/>
      <c r="AO143" s="131"/>
    </row>
    <row r="144" spans="1:41" s="47" customFormat="1" ht="14.4" x14ac:dyDescent="0.25">
      <c r="A144" s="14">
        <v>140</v>
      </c>
      <c r="B144" s="209"/>
      <c r="C144" s="206"/>
      <c r="D144" s="226"/>
      <c r="E144" s="37" t="s">
        <v>249</v>
      </c>
      <c r="F144" s="14" t="s">
        <v>245</v>
      </c>
      <c r="G144" s="17" t="s">
        <v>110</v>
      </c>
      <c r="H144" s="162"/>
      <c r="I144" s="17"/>
      <c r="J144" s="17"/>
      <c r="K144" s="17"/>
      <c r="L144" s="17"/>
      <c r="M144" s="163"/>
      <c r="N144" s="165">
        <f t="shared" si="43"/>
        <v>0</v>
      </c>
      <c r="O144" s="14" t="s">
        <v>196</v>
      </c>
      <c r="P144" s="38"/>
      <c r="Q144" s="165">
        <f t="shared" si="44"/>
        <v>0</v>
      </c>
      <c r="R144" s="165">
        <f t="shared" si="45"/>
        <v>0</v>
      </c>
      <c r="S144" s="17"/>
      <c r="T144" s="17"/>
      <c r="U144" s="104"/>
      <c r="W144" s="154"/>
      <c r="X144" s="119">
        <v>365.04</v>
      </c>
      <c r="Y144" s="111"/>
      <c r="Z144" s="118">
        <v>1</v>
      </c>
      <c r="AA144" s="111"/>
      <c r="AB144" s="117" t="str">
        <f>VLOOKUP(O144,{"甲级","1.2";"乙级","1";"丙级","0.8";"物探","0.22"},2,0)</f>
        <v>0.22</v>
      </c>
      <c r="AC144" s="111"/>
      <c r="AD144" s="130">
        <f t="shared" si="40"/>
        <v>-365.04</v>
      </c>
      <c r="AE144" s="130">
        <f t="shared" si="41"/>
        <v>-1</v>
      </c>
      <c r="AF144" s="130">
        <f t="shared" si="42"/>
        <v>-0.22</v>
      </c>
      <c r="AG144" s="131"/>
      <c r="AH144" s="131"/>
      <c r="AI144" s="131"/>
      <c r="AJ144" s="131"/>
      <c r="AK144" s="131"/>
      <c r="AL144" s="131"/>
      <c r="AM144" s="131"/>
      <c r="AN144" s="131"/>
      <c r="AO144" s="131"/>
    </row>
    <row r="145" spans="1:41" s="47" customFormat="1" ht="14.4" x14ac:dyDescent="0.25">
      <c r="A145" s="14">
        <v>141</v>
      </c>
      <c r="B145" s="209"/>
      <c r="C145" s="206"/>
      <c r="D145" s="226"/>
      <c r="E145" s="37" t="s">
        <v>250</v>
      </c>
      <c r="F145" s="14" t="s">
        <v>245</v>
      </c>
      <c r="G145" s="17" t="s">
        <v>110</v>
      </c>
      <c r="H145" s="162"/>
      <c r="I145" s="17"/>
      <c r="J145" s="17"/>
      <c r="K145" s="17"/>
      <c r="L145" s="17"/>
      <c r="M145" s="163"/>
      <c r="N145" s="165">
        <f t="shared" si="43"/>
        <v>0</v>
      </c>
      <c r="O145" s="14" t="s">
        <v>196</v>
      </c>
      <c r="P145" s="38"/>
      <c r="Q145" s="165">
        <f t="shared" si="44"/>
        <v>0</v>
      </c>
      <c r="R145" s="165">
        <f t="shared" si="45"/>
        <v>0</v>
      </c>
      <c r="S145" s="17"/>
      <c r="T145" s="17"/>
      <c r="U145" s="104"/>
      <c r="W145" s="154"/>
      <c r="X145" s="119">
        <v>474.55200000000002</v>
      </c>
      <c r="Y145" s="111"/>
      <c r="Z145" s="118">
        <v>1</v>
      </c>
      <c r="AA145" s="111"/>
      <c r="AB145" s="117" t="str">
        <f>VLOOKUP(O145,{"甲级","1.2";"乙级","1";"丙级","0.8";"物探","0.22"},2,0)</f>
        <v>0.22</v>
      </c>
      <c r="AC145" s="111"/>
      <c r="AD145" s="130">
        <f t="shared" si="40"/>
        <v>-474.55200000000002</v>
      </c>
      <c r="AE145" s="130">
        <f t="shared" si="41"/>
        <v>-1</v>
      </c>
      <c r="AF145" s="130">
        <f t="shared" si="42"/>
        <v>-0.22</v>
      </c>
      <c r="AG145" s="131"/>
      <c r="AH145" s="131"/>
      <c r="AI145" s="131"/>
      <c r="AJ145" s="131"/>
      <c r="AK145" s="131"/>
      <c r="AL145" s="131"/>
      <c r="AM145" s="131"/>
      <c r="AN145" s="131"/>
      <c r="AO145" s="131"/>
    </row>
    <row r="146" spans="1:41" s="47" customFormat="1" ht="14.4" x14ac:dyDescent="0.25">
      <c r="A146" s="14">
        <v>142</v>
      </c>
      <c r="B146" s="209"/>
      <c r="C146" s="206"/>
      <c r="D146" s="226"/>
      <c r="E146" s="37" t="s">
        <v>251</v>
      </c>
      <c r="F146" s="14" t="s">
        <v>245</v>
      </c>
      <c r="G146" s="17" t="s">
        <v>110</v>
      </c>
      <c r="H146" s="162"/>
      <c r="I146" s="17"/>
      <c r="J146" s="17"/>
      <c r="K146" s="17"/>
      <c r="L146" s="17"/>
      <c r="M146" s="163"/>
      <c r="N146" s="165">
        <f t="shared" si="43"/>
        <v>0</v>
      </c>
      <c r="O146" s="14" t="s">
        <v>196</v>
      </c>
      <c r="P146" s="38"/>
      <c r="Q146" s="165">
        <f t="shared" si="44"/>
        <v>0</v>
      </c>
      <c r="R146" s="165">
        <f t="shared" si="45"/>
        <v>0</v>
      </c>
      <c r="S146" s="17"/>
      <c r="T146" s="17"/>
      <c r="U146" s="104"/>
      <c r="W146" s="154"/>
      <c r="X146" s="119">
        <v>616.91759999999999</v>
      </c>
      <c r="Y146" s="111"/>
      <c r="Z146" s="118">
        <v>1</v>
      </c>
      <c r="AA146" s="111"/>
      <c r="AB146" s="117" t="str">
        <f>VLOOKUP(O146,{"甲级","1.2";"乙级","1";"丙级","0.8";"物探","0.22"},2,0)</f>
        <v>0.22</v>
      </c>
      <c r="AC146" s="111"/>
      <c r="AD146" s="130">
        <f t="shared" si="40"/>
        <v>-616.91759999999999</v>
      </c>
      <c r="AE146" s="130">
        <f t="shared" si="41"/>
        <v>-1</v>
      </c>
      <c r="AF146" s="130">
        <f t="shared" si="42"/>
        <v>-0.22</v>
      </c>
      <c r="AG146" s="131"/>
      <c r="AH146" s="131"/>
      <c r="AI146" s="131"/>
      <c r="AJ146" s="131"/>
      <c r="AK146" s="131"/>
      <c r="AL146" s="131"/>
      <c r="AM146" s="131"/>
      <c r="AN146" s="131"/>
      <c r="AO146" s="131"/>
    </row>
    <row r="147" spans="1:41" s="47" customFormat="1" ht="14.4" x14ac:dyDescent="0.25">
      <c r="A147" s="14">
        <v>143</v>
      </c>
      <c r="B147" s="209"/>
      <c r="C147" s="206"/>
      <c r="D147" s="226"/>
      <c r="E147" s="37" t="s">
        <v>252</v>
      </c>
      <c r="F147" s="14" t="s">
        <v>245</v>
      </c>
      <c r="G147" s="17" t="s">
        <v>110</v>
      </c>
      <c r="H147" s="162"/>
      <c r="I147" s="17"/>
      <c r="J147" s="17"/>
      <c r="K147" s="17"/>
      <c r="L147" s="17"/>
      <c r="M147" s="163"/>
      <c r="N147" s="165">
        <f t="shared" si="43"/>
        <v>0</v>
      </c>
      <c r="O147" s="14" t="s">
        <v>196</v>
      </c>
      <c r="P147" s="38"/>
      <c r="Q147" s="165">
        <f t="shared" si="44"/>
        <v>0</v>
      </c>
      <c r="R147" s="165">
        <f t="shared" si="45"/>
        <v>0</v>
      </c>
      <c r="S147" s="17"/>
      <c r="T147" s="17"/>
      <c r="U147" s="104"/>
      <c r="W147" s="154"/>
      <c r="X147" s="119">
        <v>801.99288000000001</v>
      </c>
      <c r="Y147" s="111"/>
      <c r="Z147" s="118">
        <v>1</v>
      </c>
      <c r="AA147" s="111"/>
      <c r="AB147" s="117" t="str">
        <f>VLOOKUP(O147,{"甲级","1.2";"乙级","1";"丙级","0.8";"物探","0.22"},2,0)</f>
        <v>0.22</v>
      </c>
      <c r="AC147" s="111"/>
      <c r="AD147" s="130">
        <f t="shared" si="40"/>
        <v>-801.99288000000001</v>
      </c>
      <c r="AE147" s="130">
        <f t="shared" si="41"/>
        <v>-1</v>
      </c>
      <c r="AF147" s="130">
        <f t="shared" si="42"/>
        <v>-0.22</v>
      </c>
      <c r="AG147" s="131"/>
      <c r="AH147" s="131"/>
      <c r="AI147" s="131"/>
      <c r="AJ147" s="131"/>
      <c r="AK147" s="131"/>
      <c r="AL147" s="131"/>
      <c r="AM147" s="131"/>
      <c r="AN147" s="131"/>
      <c r="AO147" s="131"/>
    </row>
    <row r="148" spans="1:41" s="47" customFormat="1" ht="14.4" x14ac:dyDescent="0.25">
      <c r="A148" s="14">
        <v>144</v>
      </c>
      <c r="B148" s="209"/>
      <c r="C148" s="206"/>
      <c r="D148" s="226"/>
      <c r="E148" s="37" t="s">
        <v>253</v>
      </c>
      <c r="F148" s="14" t="s">
        <v>245</v>
      </c>
      <c r="G148" s="17" t="s">
        <v>110</v>
      </c>
      <c r="H148" s="162"/>
      <c r="I148" s="17"/>
      <c r="J148" s="17"/>
      <c r="K148" s="17"/>
      <c r="L148" s="17"/>
      <c r="M148" s="163"/>
      <c r="N148" s="165">
        <f t="shared" si="43"/>
        <v>0</v>
      </c>
      <c r="O148" s="14" t="s">
        <v>196</v>
      </c>
      <c r="P148" s="38"/>
      <c r="Q148" s="165">
        <f t="shared" si="44"/>
        <v>0</v>
      </c>
      <c r="R148" s="165">
        <f t="shared" si="45"/>
        <v>0</v>
      </c>
      <c r="S148" s="17"/>
      <c r="T148" s="17"/>
      <c r="U148" s="104"/>
      <c r="W148" s="154"/>
      <c r="X148" s="119">
        <v>1042.5907440000001</v>
      </c>
      <c r="Y148" s="111"/>
      <c r="Z148" s="118">
        <v>1</v>
      </c>
      <c r="AA148" s="111"/>
      <c r="AB148" s="117" t="str">
        <f>VLOOKUP(O148,{"甲级","1.2";"乙级","1";"丙级","0.8";"物探","0.22"},2,0)</f>
        <v>0.22</v>
      </c>
      <c r="AC148" s="111"/>
      <c r="AD148" s="130">
        <f t="shared" si="40"/>
        <v>-1042.5907440000001</v>
      </c>
      <c r="AE148" s="130">
        <f t="shared" si="41"/>
        <v>-1</v>
      </c>
      <c r="AF148" s="130">
        <f t="shared" si="42"/>
        <v>-0.22</v>
      </c>
      <c r="AG148" s="131"/>
      <c r="AH148" s="131"/>
      <c r="AI148" s="131"/>
      <c r="AJ148" s="131"/>
      <c r="AK148" s="131"/>
      <c r="AL148" s="131"/>
      <c r="AM148" s="131"/>
      <c r="AN148" s="131"/>
      <c r="AO148" s="131"/>
    </row>
    <row r="149" spans="1:41" s="47" customFormat="1" ht="14.4" x14ac:dyDescent="0.25">
      <c r="A149" s="14">
        <v>145</v>
      </c>
      <c r="B149" s="209"/>
      <c r="C149" s="206"/>
      <c r="D149" s="226"/>
      <c r="E149" s="37" t="s">
        <v>254</v>
      </c>
      <c r="F149" s="14" t="s">
        <v>245</v>
      </c>
      <c r="G149" s="17" t="s">
        <v>110</v>
      </c>
      <c r="H149" s="162"/>
      <c r="I149" s="17"/>
      <c r="J149" s="17"/>
      <c r="K149" s="17"/>
      <c r="L149" s="17"/>
      <c r="M149" s="163"/>
      <c r="N149" s="165">
        <f t="shared" si="43"/>
        <v>0</v>
      </c>
      <c r="O149" s="14" t="s">
        <v>196</v>
      </c>
      <c r="P149" s="38"/>
      <c r="Q149" s="165">
        <f t="shared" si="44"/>
        <v>0</v>
      </c>
      <c r="R149" s="165">
        <f t="shared" si="45"/>
        <v>0</v>
      </c>
      <c r="S149" s="17"/>
      <c r="T149" s="17"/>
      <c r="U149" s="104"/>
      <c r="W149" s="154"/>
      <c r="X149" s="119">
        <v>1355.3679672000001</v>
      </c>
      <c r="Y149" s="111"/>
      <c r="Z149" s="118">
        <v>1</v>
      </c>
      <c r="AA149" s="111"/>
      <c r="AB149" s="117" t="str">
        <f>VLOOKUP(O149,{"甲级","1.2";"乙级","1";"丙级","0.8";"物探","0.22"},2,0)</f>
        <v>0.22</v>
      </c>
      <c r="AC149" s="111"/>
      <c r="AD149" s="130">
        <f t="shared" si="40"/>
        <v>-1355.3679672000001</v>
      </c>
      <c r="AE149" s="130">
        <f t="shared" si="41"/>
        <v>-1</v>
      </c>
      <c r="AF149" s="130">
        <f t="shared" si="42"/>
        <v>-0.22</v>
      </c>
      <c r="AG149" s="131"/>
      <c r="AH149" s="131"/>
      <c r="AI149" s="131"/>
      <c r="AJ149" s="131"/>
      <c r="AK149" s="131"/>
      <c r="AL149" s="131"/>
      <c r="AM149" s="131"/>
      <c r="AN149" s="131"/>
      <c r="AO149" s="131"/>
    </row>
    <row r="150" spans="1:41" s="47" customFormat="1" ht="14.4" x14ac:dyDescent="0.25">
      <c r="A150" s="14">
        <v>146</v>
      </c>
      <c r="B150" s="209"/>
      <c r="C150" s="206"/>
      <c r="D150" s="226"/>
      <c r="E150" s="37" t="s">
        <v>255</v>
      </c>
      <c r="F150" s="14" t="s">
        <v>245</v>
      </c>
      <c r="G150" s="17" t="s">
        <v>110</v>
      </c>
      <c r="H150" s="162"/>
      <c r="I150" s="17"/>
      <c r="J150" s="17"/>
      <c r="K150" s="17"/>
      <c r="L150" s="17"/>
      <c r="M150" s="163"/>
      <c r="N150" s="165">
        <f t="shared" si="43"/>
        <v>0</v>
      </c>
      <c r="O150" s="14" t="s">
        <v>196</v>
      </c>
      <c r="P150" s="38"/>
      <c r="Q150" s="165">
        <f t="shared" si="44"/>
        <v>0</v>
      </c>
      <c r="R150" s="165">
        <f t="shared" si="45"/>
        <v>0</v>
      </c>
      <c r="S150" s="17"/>
      <c r="T150" s="17"/>
      <c r="U150" s="104"/>
      <c r="W150" s="154"/>
      <c r="X150" s="119">
        <v>1761.9783573600002</v>
      </c>
      <c r="Y150" s="111"/>
      <c r="Z150" s="118">
        <v>1</v>
      </c>
      <c r="AA150" s="111"/>
      <c r="AB150" s="117" t="str">
        <f>VLOOKUP(O150,{"甲级","1.2";"乙级","1";"丙级","0.8";"物探","0.22"},2,0)</f>
        <v>0.22</v>
      </c>
      <c r="AC150" s="111"/>
      <c r="AD150" s="130">
        <f t="shared" si="40"/>
        <v>-1761.9783573600002</v>
      </c>
      <c r="AE150" s="130">
        <f t="shared" si="41"/>
        <v>-1</v>
      </c>
      <c r="AF150" s="130">
        <f t="shared" si="42"/>
        <v>-0.22</v>
      </c>
      <c r="AG150" s="131"/>
      <c r="AH150" s="131"/>
      <c r="AI150" s="131"/>
      <c r="AJ150" s="131"/>
      <c r="AK150" s="131"/>
      <c r="AL150" s="131"/>
      <c r="AM150" s="131"/>
      <c r="AN150" s="131"/>
      <c r="AO150" s="131"/>
    </row>
    <row r="151" spans="1:41" s="47" customFormat="1" ht="14.4" x14ac:dyDescent="0.25">
      <c r="A151" s="14">
        <v>147</v>
      </c>
      <c r="B151" s="209"/>
      <c r="C151" s="206"/>
      <c r="D151" s="226"/>
      <c r="E151" s="37" t="s">
        <v>256</v>
      </c>
      <c r="F151" s="14" t="s">
        <v>245</v>
      </c>
      <c r="G151" s="17" t="s">
        <v>110</v>
      </c>
      <c r="H151" s="162"/>
      <c r="I151" s="17"/>
      <c r="J151" s="17"/>
      <c r="K151" s="17"/>
      <c r="L151" s="17"/>
      <c r="M151" s="163"/>
      <c r="N151" s="165">
        <f t="shared" si="43"/>
        <v>0</v>
      </c>
      <c r="O151" s="14" t="s">
        <v>196</v>
      </c>
      <c r="P151" s="38"/>
      <c r="Q151" s="165">
        <f t="shared" si="44"/>
        <v>0</v>
      </c>
      <c r="R151" s="165">
        <f t="shared" si="45"/>
        <v>0</v>
      </c>
      <c r="S151" s="17"/>
      <c r="T151" s="17"/>
      <c r="U151" s="104"/>
      <c r="W151" s="154"/>
      <c r="X151" s="119">
        <v>2290.5718645680004</v>
      </c>
      <c r="Y151" s="111"/>
      <c r="Z151" s="118">
        <v>1</v>
      </c>
      <c r="AA151" s="111"/>
      <c r="AB151" s="117" t="str">
        <f>VLOOKUP(O151,{"甲级","1.2";"乙级","1";"丙级","0.8";"物探","0.22"},2,0)</f>
        <v>0.22</v>
      </c>
      <c r="AC151" s="111"/>
      <c r="AD151" s="130">
        <f t="shared" si="40"/>
        <v>-2290.5718645680004</v>
      </c>
      <c r="AE151" s="130">
        <f t="shared" si="41"/>
        <v>-1</v>
      </c>
      <c r="AF151" s="130">
        <f t="shared" si="42"/>
        <v>-0.22</v>
      </c>
      <c r="AG151" s="131"/>
      <c r="AH151" s="131"/>
      <c r="AI151" s="131"/>
      <c r="AJ151" s="131"/>
      <c r="AK151" s="131"/>
      <c r="AL151" s="131"/>
      <c r="AM151" s="131"/>
      <c r="AN151" s="131"/>
      <c r="AO151" s="131"/>
    </row>
    <row r="152" spans="1:41" s="47" customFormat="1" ht="14.4" x14ac:dyDescent="0.25">
      <c r="A152" s="14">
        <v>148</v>
      </c>
      <c r="B152" s="209"/>
      <c r="C152" s="206"/>
      <c r="D152" s="226"/>
      <c r="E152" s="37" t="s">
        <v>257</v>
      </c>
      <c r="F152" s="14" t="s">
        <v>245</v>
      </c>
      <c r="G152" s="17" t="s">
        <v>110</v>
      </c>
      <c r="H152" s="162"/>
      <c r="I152" s="17"/>
      <c r="J152" s="17"/>
      <c r="K152" s="17"/>
      <c r="L152" s="17"/>
      <c r="M152" s="163"/>
      <c r="N152" s="165">
        <f t="shared" si="43"/>
        <v>0</v>
      </c>
      <c r="O152" s="14" t="s">
        <v>196</v>
      </c>
      <c r="P152" s="38"/>
      <c r="Q152" s="165">
        <f t="shared" si="44"/>
        <v>0</v>
      </c>
      <c r="R152" s="165">
        <f t="shared" si="45"/>
        <v>0</v>
      </c>
      <c r="S152" s="17"/>
      <c r="T152" s="17"/>
      <c r="U152" s="104"/>
      <c r="W152" s="154"/>
      <c r="X152" s="119">
        <v>2977.7434239384006</v>
      </c>
      <c r="Y152" s="111"/>
      <c r="Z152" s="118">
        <v>1</v>
      </c>
      <c r="AA152" s="111"/>
      <c r="AB152" s="117" t="str">
        <f>VLOOKUP(O152,{"甲级","1.2";"乙级","1";"丙级","0.8";"物探","0.22"},2,0)</f>
        <v>0.22</v>
      </c>
      <c r="AC152" s="111"/>
      <c r="AD152" s="130">
        <f t="shared" si="40"/>
        <v>-2977.7434239384006</v>
      </c>
      <c r="AE152" s="130">
        <f t="shared" si="41"/>
        <v>-1</v>
      </c>
      <c r="AF152" s="130">
        <f t="shared" si="42"/>
        <v>-0.22</v>
      </c>
      <c r="AG152" s="131"/>
      <c r="AH152" s="131"/>
      <c r="AI152" s="131"/>
      <c r="AJ152" s="131"/>
      <c r="AK152" s="131"/>
      <c r="AL152" s="131"/>
      <c r="AM152" s="131"/>
      <c r="AN152" s="131"/>
      <c r="AO152" s="131"/>
    </row>
    <row r="153" spans="1:41" s="47" customFormat="1" ht="14.4" x14ac:dyDescent="0.25">
      <c r="A153" s="14">
        <v>149</v>
      </c>
      <c r="B153" s="209"/>
      <c r="C153" s="206"/>
      <c r="D153" s="226"/>
      <c r="E153" s="37" t="s">
        <v>397</v>
      </c>
      <c r="F153" s="14" t="s">
        <v>245</v>
      </c>
      <c r="G153" s="17" t="s">
        <v>110</v>
      </c>
      <c r="H153" s="162"/>
      <c r="I153" s="17"/>
      <c r="J153" s="17"/>
      <c r="K153" s="17"/>
      <c r="L153" s="17"/>
      <c r="M153" s="163"/>
      <c r="N153" s="165">
        <f t="shared" si="43"/>
        <v>0</v>
      </c>
      <c r="O153" s="14" t="s">
        <v>196</v>
      </c>
      <c r="P153" s="38"/>
      <c r="Q153" s="165">
        <f t="shared" si="44"/>
        <v>0</v>
      </c>
      <c r="R153" s="165">
        <f t="shared" si="45"/>
        <v>0</v>
      </c>
      <c r="S153" s="17"/>
      <c r="T153" s="17"/>
      <c r="U153" s="104"/>
      <c r="W153" s="154"/>
      <c r="X153" s="119">
        <v>3871.0664511199211</v>
      </c>
      <c r="Y153" s="111"/>
      <c r="Z153" s="118">
        <v>1</v>
      </c>
      <c r="AA153" s="111"/>
      <c r="AB153" s="117" t="str">
        <f>VLOOKUP(O153,{"甲级","1.2";"乙级","1";"丙级","0.8";"物探","0.22"},2,0)</f>
        <v>0.22</v>
      </c>
      <c r="AC153" s="111"/>
      <c r="AD153" s="130">
        <f t="shared" si="40"/>
        <v>-3871.0664511199211</v>
      </c>
      <c r="AE153" s="130">
        <f t="shared" si="41"/>
        <v>-1</v>
      </c>
      <c r="AF153" s="130">
        <f t="shared" si="42"/>
        <v>-0.22</v>
      </c>
      <c r="AG153" s="131"/>
      <c r="AH153" s="131"/>
      <c r="AI153" s="131"/>
      <c r="AJ153" s="131"/>
      <c r="AK153" s="131"/>
      <c r="AL153" s="131"/>
      <c r="AM153" s="131"/>
      <c r="AN153" s="131"/>
      <c r="AO153" s="131"/>
    </row>
    <row r="154" spans="1:41" s="47" customFormat="1" ht="14.4" x14ac:dyDescent="0.25">
      <c r="A154" s="14">
        <v>150</v>
      </c>
      <c r="B154" s="209"/>
      <c r="C154" s="206"/>
      <c r="D154" s="226"/>
      <c r="E154" s="37" t="s">
        <v>398</v>
      </c>
      <c r="F154" s="14" t="s">
        <v>245</v>
      </c>
      <c r="G154" s="17" t="s">
        <v>110</v>
      </c>
      <c r="H154" s="162"/>
      <c r="I154" s="17"/>
      <c r="J154" s="17"/>
      <c r="K154" s="17"/>
      <c r="L154" s="17"/>
      <c r="M154" s="163"/>
      <c r="N154" s="165">
        <f t="shared" si="43"/>
        <v>0</v>
      </c>
      <c r="O154" s="14" t="s">
        <v>196</v>
      </c>
      <c r="P154" s="38"/>
      <c r="Q154" s="165">
        <f t="shared" si="44"/>
        <v>0</v>
      </c>
      <c r="R154" s="165">
        <f t="shared" si="45"/>
        <v>0</v>
      </c>
      <c r="S154" s="17"/>
      <c r="T154" s="17"/>
      <c r="U154" s="104"/>
      <c r="W154" s="154"/>
      <c r="X154" s="119">
        <v>5032.386386455898</v>
      </c>
      <c r="Y154" s="111"/>
      <c r="Z154" s="118">
        <v>1</v>
      </c>
      <c r="AA154" s="111"/>
      <c r="AB154" s="117" t="str">
        <f>VLOOKUP(O154,{"甲级","1.2";"乙级","1";"丙级","0.8";"物探","0.22"},2,0)</f>
        <v>0.22</v>
      </c>
      <c r="AC154" s="111"/>
      <c r="AD154" s="130">
        <f t="shared" si="40"/>
        <v>-5032.386386455898</v>
      </c>
      <c r="AE154" s="130">
        <f t="shared" si="41"/>
        <v>-1</v>
      </c>
      <c r="AF154" s="130">
        <f t="shared" si="42"/>
        <v>-0.22</v>
      </c>
      <c r="AG154" s="131"/>
      <c r="AH154" s="131"/>
      <c r="AI154" s="131"/>
      <c r="AJ154" s="131"/>
      <c r="AK154" s="131"/>
      <c r="AL154" s="131"/>
      <c r="AM154" s="131"/>
      <c r="AN154" s="131"/>
      <c r="AO154" s="131"/>
    </row>
    <row r="155" spans="1:41" s="47" customFormat="1" ht="14.4" x14ac:dyDescent="0.25">
      <c r="A155" s="14">
        <v>151</v>
      </c>
      <c r="B155" s="209"/>
      <c r="C155" s="206"/>
      <c r="D155" s="226"/>
      <c r="E155" s="37" t="s">
        <v>399</v>
      </c>
      <c r="F155" s="14" t="s">
        <v>245</v>
      </c>
      <c r="G155" s="17" t="s">
        <v>110</v>
      </c>
      <c r="H155" s="162"/>
      <c r="I155" s="17"/>
      <c r="J155" s="17"/>
      <c r="K155" s="17"/>
      <c r="L155" s="17"/>
      <c r="M155" s="163"/>
      <c r="N155" s="165">
        <f t="shared" si="43"/>
        <v>0</v>
      </c>
      <c r="O155" s="14" t="s">
        <v>196</v>
      </c>
      <c r="P155" s="38"/>
      <c r="Q155" s="165">
        <f t="shared" si="44"/>
        <v>0</v>
      </c>
      <c r="R155" s="165">
        <f t="shared" si="45"/>
        <v>0</v>
      </c>
      <c r="S155" s="17"/>
      <c r="T155" s="17"/>
      <c r="U155" s="104"/>
      <c r="W155" s="154"/>
      <c r="X155" s="119">
        <v>6542.1023023926673</v>
      </c>
      <c r="Y155" s="111"/>
      <c r="Z155" s="118">
        <v>1</v>
      </c>
      <c r="AA155" s="111"/>
      <c r="AB155" s="117" t="str">
        <f>VLOOKUP(O155,{"甲级","1.2";"乙级","1";"丙级","0.8";"物探","0.22"},2,0)</f>
        <v>0.22</v>
      </c>
      <c r="AC155" s="111"/>
      <c r="AD155" s="130">
        <f t="shared" si="40"/>
        <v>-6542.1023023926673</v>
      </c>
      <c r="AE155" s="130">
        <f t="shared" si="41"/>
        <v>-1</v>
      </c>
      <c r="AF155" s="130">
        <f t="shared" si="42"/>
        <v>-0.22</v>
      </c>
      <c r="AG155" s="131"/>
      <c r="AH155" s="131"/>
      <c r="AI155" s="131"/>
      <c r="AJ155" s="131"/>
      <c r="AK155" s="131"/>
      <c r="AL155" s="131"/>
      <c r="AM155" s="131"/>
      <c r="AN155" s="131"/>
      <c r="AO155" s="131"/>
    </row>
    <row r="156" spans="1:41" s="47" customFormat="1" ht="14.4" x14ac:dyDescent="0.25">
      <c r="A156" s="14">
        <v>152</v>
      </c>
      <c r="B156" s="209"/>
      <c r="C156" s="206"/>
      <c r="D156" s="226"/>
      <c r="E156" s="37" t="s">
        <v>400</v>
      </c>
      <c r="F156" s="14" t="s">
        <v>245</v>
      </c>
      <c r="G156" s="17" t="s">
        <v>110</v>
      </c>
      <c r="H156" s="162"/>
      <c r="I156" s="17"/>
      <c r="J156" s="17"/>
      <c r="K156" s="17"/>
      <c r="L156" s="17"/>
      <c r="M156" s="163"/>
      <c r="N156" s="165">
        <f t="shared" si="43"/>
        <v>0</v>
      </c>
      <c r="O156" s="14" t="s">
        <v>196</v>
      </c>
      <c r="P156" s="38"/>
      <c r="Q156" s="165">
        <f t="shared" si="44"/>
        <v>0</v>
      </c>
      <c r="R156" s="165">
        <f t="shared" si="45"/>
        <v>0</v>
      </c>
      <c r="S156" s="17"/>
      <c r="T156" s="17"/>
      <c r="U156" s="104"/>
      <c r="W156" s="154"/>
      <c r="X156" s="119">
        <v>8504.7329931104687</v>
      </c>
      <c r="Y156" s="111"/>
      <c r="Z156" s="118">
        <v>1</v>
      </c>
      <c r="AA156" s="111"/>
      <c r="AB156" s="117" t="str">
        <f>VLOOKUP(O156,{"甲级","1.2";"乙级","1";"丙级","0.8";"物探","0.22"},2,0)</f>
        <v>0.22</v>
      </c>
      <c r="AC156" s="111"/>
      <c r="AD156" s="130">
        <f t="shared" si="40"/>
        <v>-8504.7329931104687</v>
      </c>
      <c r="AE156" s="130">
        <f t="shared" si="41"/>
        <v>-1</v>
      </c>
      <c r="AF156" s="130">
        <f t="shared" si="42"/>
        <v>-0.22</v>
      </c>
      <c r="AG156" s="131"/>
      <c r="AH156" s="131"/>
      <c r="AI156" s="131"/>
      <c r="AJ156" s="131"/>
      <c r="AK156" s="131"/>
      <c r="AL156" s="131"/>
      <c r="AM156" s="131"/>
      <c r="AN156" s="131"/>
      <c r="AO156" s="131"/>
    </row>
    <row r="157" spans="1:41" s="47" customFormat="1" ht="14.4" x14ac:dyDescent="0.25">
      <c r="A157" s="14">
        <v>153</v>
      </c>
      <c r="B157" s="209"/>
      <c r="C157" s="206"/>
      <c r="D157" s="226"/>
      <c r="E157" s="37" t="s">
        <v>401</v>
      </c>
      <c r="F157" s="14" t="s">
        <v>245</v>
      </c>
      <c r="G157" s="17" t="s">
        <v>110</v>
      </c>
      <c r="H157" s="162"/>
      <c r="I157" s="17"/>
      <c r="J157" s="17"/>
      <c r="K157" s="17"/>
      <c r="L157" s="17"/>
      <c r="M157" s="163"/>
      <c r="N157" s="165">
        <f t="shared" si="43"/>
        <v>0</v>
      </c>
      <c r="O157" s="14" t="s">
        <v>196</v>
      </c>
      <c r="P157" s="38"/>
      <c r="Q157" s="165">
        <f t="shared" si="44"/>
        <v>0</v>
      </c>
      <c r="R157" s="165">
        <f t="shared" si="45"/>
        <v>0</v>
      </c>
      <c r="S157" s="17"/>
      <c r="T157" s="17"/>
      <c r="U157" s="104"/>
      <c r="W157" s="154"/>
      <c r="X157" s="119">
        <v>11056.15289104361</v>
      </c>
      <c r="Y157" s="111"/>
      <c r="Z157" s="118">
        <v>1</v>
      </c>
      <c r="AA157" s="111"/>
      <c r="AB157" s="117" t="str">
        <f>VLOOKUP(O157,{"甲级","1.2";"乙级","1";"丙级","0.8";"物探","0.22"},2,0)</f>
        <v>0.22</v>
      </c>
      <c r="AC157" s="111"/>
      <c r="AD157" s="130">
        <f t="shared" si="40"/>
        <v>-11056.15289104361</v>
      </c>
      <c r="AE157" s="130">
        <f t="shared" si="41"/>
        <v>-1</v>
      </c>
      <c r="AF157" s="130">
        <f t="shared" si="42"/>
        <v>-0.22</v>
      </c>
      <c r="AG157" s="131"/>
      <c r="AH157" s="131"/>
      <c r="AI157" s="131"/>
      <c r="AJ157" s="131"/>
      <c r="AK157" s="131"/>
      <c r="AL157" s="131"/>
      <c r="AM157" s="131"/>
      <c r="AN157" s="131"/>
      <c r="AO157" s="131"/>
    </row>
    <row r="158" spans="1:41" s="47" customFormat="1" ht="14.4" x14ac:dyDescent="0.25">
      <c r="A158" s="14">
        <v>154</v>
      </c>
      <c r="B158" s="209"/>
      <c r="C158" s="206"/>
      <c r="D158" s="226"/>
      <c r="E158" s="37" t="s">
        <v>402</v>
      </c>
      <c r="F158" s="14" t="s">
        <v>245</v>
      </c>
      <c r="G158" s="17" t="s">
        <v>110</v>
      </c>
      <c r="H158" s="162"/>
      <c r="I158" s="17"/>
      <c r="J158" s="17"/>
      <c r="K158" s="17"/>
      <c r="L158" s="17"/>
      <c r="M158" s="163"/>
      <c r="N158" s="165">
        <f t="shared" si="43"/>
        <v>0</v>
      </c>
      <c r="O158" s="14" t="s">
        <v>196</v>
      </c>
      <c r="P158" s="38"/>
      <c r="Q158" s="165">
        <f t="shared" si="44"/>
        <v>0</v>
      </c>
      <c r="R158" s="165">
        <f t="shared" si="45"/>
        <v>0</v>
      </c>
      <c r="S158" s="17"/>
      <c r="T158" s="17"/>
      <c r="U158" s="104"/>
      <c r="W158" s="154"/>
      <c r="X158" s="119">
        <v>14372.998758356693</v>
      </c>
      <c r="Y158" s="111"/>
      <c r="Z158" s="118">
        <v>1</v>
      </c>
      <c r="AA158" s="111"/>
      <c r="AB158" s="117" t="str">
        <f>VLOOKUP(O158,{"甲级","1.2";"乙级","1";"丙级","0.8";"物探","0.22"},2,0)</f>
        <v>0.22</v>
      </c>
      <c r="AC158" s="111"/>
      <c r="AD158" s="130">
        <f t="shared" si="40"/>
        <v>-14372.998758356693</v>
      </c>
      <c r="AE158" s="130">
        <f t="shared" si="41"/>
        <v>-1</v>
      </c>
      <c r="AF158" s="130">
        <f t="shared" si="42"/>
        <v>-0.22</v>
      </c>
      <c r="AG158" s="131"/>
      <c r="AH158" s="131"/>
      <c r="AI158" s="131"/>
      <c r="AJ158" s="131"/>
      <c r="AK158" s="131"/>
      <c r="AL158" s="131"/>
      <c r="AM158" s="131"/>
      <c r="AN158" s="131"/>
      <c r="AO158" s="131"/>
    </row>
    <row r="159" spans="1:41" s="47" customFormat="1" ht="14.4" x14ac:dyDescent="0.25">
      <c r="A159" s="14">
        <v>155</v>
      </c>
      <c r="B159" s="209"/>
      <c r="C159" s="206"/>
      <c r="D159" s="226"/>
      <c r="E159" s="37" t="s">
        <v>403</v>
      </c>
      <c r="F159" s="14" t="s">
        <v>245</v>
      </c>
      <c r="G159" s="17" t="s">
        <v>110</v>
      </c>
      <c r="H159" s="162"/>
      <c r="I159" s="17"/>
      <c r="J159" s="17"/>
      <c r="K159" s="17"/>
      <c r="L159" s="17"/>
      <c r="M159" s="163"/>
      <c r="N159" s="165">
        <f t="shared" si="43"/>
        <v>0</v>
      </c>
      <c r="O159" s="14" t="s">
        <v>196</v>
      </c>
      <c r="P159" s="38"/>
      <c r="Q159" s="165">
        <f t="shared" si="44"/>
        <v>0</v>
      </c>
      <c r="R159" s="165">
        <f t="shared" si="45"/>
        <v>0</v>
      </c>
      <c r="S159" s="17"/>
      <c r="T159" s="17"/>
      <c r="U159" s="104"/>
      <c r="W159" s="154"/>
      <c r="X159" s="119">
        <v>18684.8983858637</v>
      </c>
      <c r="Y159" s="111"/>
      <c r="Z159" s="118">
        <v>1</v>
      </c>
      <c r="AA159" s="111"/>
      <c r="AB159" s="117" t="str">
        <f>VLOOKUP(O159,{"甲级","1.2";"乙级","1";"丙级","0.8";"物探","0.22"},2,0)</f>
        <v>0.22</v>
      </c>
      <c r="AC159" s="111"/>
      <c r="AD159" s="130">
        <f t="shared" si="40"/>
        <v>-18684.8983858637</v>
      </c>
      <c r="AE159" s="130">
        <f t="shared" si="41"/>
        <v>-1</v>
      </c>
      <c r="AF159" s="130">
        <f t="shared" si="42"/>
        <v>-0.22</v>
      </c>
      <c r="AG159" s="131"/>
      <c r="AH159" s="131"/>
      <c r="AI159" s="131"/>
      <c r="AJ159" s="131"/>
      <c r="AK159" s="131"/>
      <c r="AL159" s="131"/>
      <c r="AM159" s="131"/>
      <c r="AN159" s="131"/>
      <c r="AO159" s="131"/>
    </row>
    <row r="160" spans="1:41" s="47" customFormat="1" ht="14.4" x14ac:dyDescent="0.25">
      <c r="A160" s="14">
        <v>156</v>
      </c>
      <c r="B160" s="209"/>
      <c r="C160" s="207"/>
      <c r="D160" s="227"/>
      <c r="E160" s="37" t="s">
        <v>404</v>
      </c>
      <c r="F160" s="14" t="s">
        <v>245</v>
      </c>
      <c r="G160" s="17" t="s">
        <v>110</v>
      </c>
      <c r="H160" s="162"/>
      <c r="I160" s="17"/>
      <c r="J160" s="17"/>
      <c r="K160" s="17"/>
      <c r="L160" s="17"/>
      <c r="M160" s="163"/>
      <c r="N160" s="165">
        <f t="shared" si="43"/>
        <v>0</v>
      </c>
      <c r="O160" s="14" t="s">
        <v>196</v>
      </c>
      <c r="P160" s="38"/>
      <c r="Q160" s="165">
        <f t="shared" si="44"/>
        <v>0</v>
      </c>
      <c r="R160" s="165">
        <f t="shared" si="45"/>
        <v>0</v>
      </c>
      <c r="S160" s="17"/>
      <c r="T160" s="17"/>
      <c r="U160" s="104"/>
      <c r="W160" s="154"/>
      <c r="X160" s="119">
        <v>24290.367901622812</v>
      </c>
      <c r="Y160" s="111"/>
      <c r="Z160" s="118">
        <v>1</v>
      </c>
      <c r="AA160" s="111"/>
      <c r="AB160" s="117" t="str">
        <f>VLOOKUP(O160,{"甲级","1.2";"乙级","1";"丙级","0.8";"物探","0.22"},2,0)</f>
        <v>0.22</v>
      </c>
      <c r="AC160" s="111"/>
      <c r="AD160" s="130">
        <f t="shared" si="40"/>
        <v>-24290.367901622812</v>
      </c>
      <c r="AE160" s="130">
        <f t="shared" si="41"/>
        <v>-1</v>
      </c>
      <c r="AF160" s="130">
        <f t="shared" si="42"/>
        <v>-0.22</v>
      </c>
      <c r="AG160" s="131"/>
      <c r="AH160" s="131"/>
      <c r="AI160" s="131"/>
      <c r="AJ160" s="131"/>
      <c r="AK160" s="131"/>
      <c r="AL160" s="131"/>
      <c r="AM160" s="131"/>
      <c r="AN160" s="131"/>
      <c r="AO160" s="131"/>
    </row>
    <row r="161" spans="1:41" s="47" customFormat="1" ht="24" x14ac:dyDescent="0.25">
      <c r="A161" s="14">
        <v>157</v>
      </c>
      <c r="B161" s="209"/>
      <c r="C161" s="11" t="s">
        <v>258</v>
      </c>
      <c r="D161" s="208" t="s">
        <v>259</v>
      </c>
      <c r="E161" s="224"/>
      <c r="F161" s="208"/>
      <c r="G161" s="17" t="s">
        <v>51</v>
      </c>
      <c r="H161" s="162"/>
      <c r="I161" s="17"/>
      <c r="J161" s="17"/>
      <c r="K161" s="17"/>
      <c r="L161" s="17"/>
      <c r="M161" s="163"/>
      <c r="N161" s="165">
        <f t="shared" ref="N161:N167" si="46">H161*I161*M161</f>
        <v>0</v>
      </c>
      <c r="O161" s="14" t="s">
        <v>196</v>
      </c>
      <c r="P161" s="38"/>
      <c r="Q161" s="165">
        <f t="shared" ref="Q161:Q167" si="47">N161*P161</f>
        <v>0</v>
      </c>
      <c r="R161" s="165">
        <f t="shared" ref="R161:R167" si="48">N161+Q161</f>
        <v>0</v>
      </c>
      <c r="S161" s="17" t="s">
        <v>197</v>
      </c>
      <c r="T161" s="17"/>
      <c r="U161" s="104"/>
      <c r="W161" s="154"/>
      <c r="X161" s="119">
        <v>4500</v>
      </c>
      <c r="Y161" s="111"/>
      <c r="Z161" s="118">
        <v>1.3</v>
      </c>
      <c r="AA161" s="111"/>
      <c r="AB161" s="117" t="str">
        <f>VLOOKUP(O161,{"甲级","1.2";"乙级","1";"丙级","0.8";"物探","0.22"},2,0)</f>
        <v>0.22</v>
      </c>
      <c r="AC161" s="111"/>
      <c r="AD161" s="130">
        <f t="shared" si="40"/>
        <v>-4500</v>
      </c>
      <c r="AE161" s="130">
        <f t="shared" si="41"/>
        <v>-1.3</v>
      </c>
      <c r="AF161" s="130">
        <f t="shared" si="42"/>
        <v>-0.22</v>
      </c>
      <c r="AG161" s="131"/>
      <c r="AH161" s="131"/>
      <c r="AI161" s="131"/>
      <c r="AJ161" s="131"/>
      <c r="AK161" s="131"/>
      <c r="AL161" s="131"/>
      <c r="AM161" s="131"/>
      <c r="AN161" s="131"/>
      <c r="AO161" s="131"/>
    </row>
    <row r="162" spans="1:41" s="47" customFormat="1" ht="96" x14ac:dyDescent="0.25">
      <c r="A162" s="14">
        <v>158</v>
      </c>
      <c r="B162" s="209" t="s">
        <v>354</v>
      </c>
      <c r="C162" s="209" t="s">
        <v>474</v>
      </c>
      <c r="D162" s="208" t="s">
        <v>260</v>
      </c>
      <c r="E162" s="208"/>
      <c r="F162" s="14"/>
      <c r="G162" s="17" t="s">
        <v>152</v>
      </c>
      <c r="H162" s="162"/>
      <c r="I162" s="17">
        <v>66</v>
      </c>
      <c r="J162" s="17"/>
      <c r="K162" s="17"/>
      <c r="L162" s="17"/>
      <c r="M162" s="163"/>
      <c r="N162" s="165">
        <f t="shared" si="46"/>
        <v>0</v>
      </c>
      <c r="O162" s="14" t="s">
        <v>261</v>
      </c>
      <c r="P162" s="38"/>
      <c r="Q162" s="165">
        <f t="shared" si="47"/>
        <v>0</v>
      </c>
      <c r="R162" s="165">
        <f t="shared" si="48"/>
        <v>0</v>
      </c>
      <c r="S162" s="17" t="s">
        <v>262</v>
      </c>
      <c r="T162" s="17"/>
      <c r="U162" s="104"/>
      <c r="W162" s="154"/>
      <c r="X162" s="119">
        <v>8</v>
      </c>
      <c r="Y162" s="111"/>
      <c r="Z162" s="118">
        <v>1</v>
      </c>
      <c r="AA162" s="111"/>
      <c r="AB162" s="117" t="str">
        <f>VLOOKUP(O162,{"甲级","1.2";"乙级","1.0";"丙级","0.8";"试验","0.1"},2,0)</f>
        <v>0.1</v>
      </c>
      <c r="AC162" s="110" t="s">
        <v>495</v>
      </c>
      <c r="AD162" s="130">
        <f t="shared" si="40"/>
        <v>-8</v>
      </c>
      <c r="AE162" s="130">
        <f t="shared" si="41"/>
        <v>-1</v>
      </c>
      <c r="AF162" s="130">
        <f t="shared" si="42"/>
        <v>-0.1</v>
      </c>
      <c r="AG162" s="131"/>
      <c r="AH162" s="131"/>
      <c r="AI162" s="131"/>
      <c r="AJ162" s="131"/>
      <c r="AK162" s="131"/>
      <c r="AL162" s="131"/>
      <c r="AM162" s="131"/>
      <c r="AN162" s="131"/>
      <c r="AO162" s="131"/>
    </row>
    <row r="163" spans="1:41" s="47" customFormat="1" ht="14.4" x14ac:dyDescent="0.25">
      <c r="A163" s="14">
        <v>159</v>
      </c>
      <c r="B163" s="209"/>
      <c r="C163" s="209"/>
      <c r="D163" s="14" t="s">
        <v>263</v>
      </c>
      <c r="E163" s="42" t="s">
        <v>264</v>
      </c>
      <c r="F163" s="14"/>
      <c r="G163" s="17" t="s">
        <v>152</v>
      </c>
      <c r="H163" s="162"/>
      <c r="I163" s="17">
        <v>66</v>
      </c>
      <c r="J163" s="17"/>
      <c r="K163" s="17"/>
      <c r="L163" s="17"/>
      <c r="M163" s="163"/>
      <c r="N163" s="165">
        <f t="shared" si="46"/>
        <v>0</v>
      </c>
      <c r="O163" s="14" t="s">
        <v>261</v>
      </c>
      <c r="P163" s="38"/>
      <c r="Q163" s="165">
        <f t="shared" si="47"/>
        <v>0</v>
      </c>
      <c r="R163" s="165">
        <f t="shared" si="48"/>
        <v>0</v>
      </c>
      <c r="S163" s="17" t="s">
        <v>262</v>
      </c>
      <c r="T163" s="17"/>
      <c r="U163" s="104"/>
      <c r="W163" s="154"/>
      <c r="X163" s="119">
        <v>8</v>
      </c>
      <c r="Y163" s="111"/>
      <c r="Z163" s="118">
        <v>1</v>
      </c>
      <c r="AA163" s="111"/>
      <c r="AB163" s="117" t="str">
        <f>VLOOKUP(O163,{"甲级","1.2";"乙级","1.0";"丙级","0.8";"试验","0.1"},2,0)</f>
        <v>0.1</v>
      </c>
      <c r="AC163" s="111"/>
      <c r="AD163" s="130">
        <f t="shared" si="40"/>
        <v>-8</v>
      </c>
      <c r="AE163" s="130">
        <f t="shared" si="41"/>
        <v>-1</v>
      </c>
      <c r="AF163" s="130">
        <f t="shared" si="42"/>
        <v>-0.1</v>
      </c>
      <c r="AG163" s="131"/>
      <c r="AH163" s="131"/>
      <c r="AI163" s="131"/>
      <c r="AJ163" s="131"/>
      <c r="AK163" s="131"/>
      <c r="AL163" s="131"/>
      <c r="AM163" s="131"/>
      <c r="AN163" s="131"/>
      <c r="AO163" s="131"/>
    </row>
    <row r="164" spans="1:41" s="47" customFormat="1" ht="14.4" x14ac:dyDescent="0.25">
      <c r="A164" s="14">
        <v>160</v>
      </c>
      <c r="B164" s="209"/>
      <c r="C164" s="209"/>
      <c r="D164" s="14" t="s">
        <v>265</v>
      </c>
      <c r="E164" s="42"/>
      <c r="F164" s="14"/>
      <c r="G164" s="17" t="s">
        <v>152</v>
      </c>
      <c r="H164" s="162"/>
      <c r="I164" s="17">
        <v>40</v>
      </c>
      <c r="J164" s="17"/>
      <c r="K164" s="17"/>
      <c r="L164" s="17"/>
      <c r="M164" s="163"/>
      <c r="N164" s="165">
        <f t="shared" si="46"/>
        <v>0</v>
      </c>
      <c r="O164" s="14" t="s">
        <v>261</v>
      </c>
      <c r="P164" s="38"/>
      <c r="Q164" s="165">
        <f t="shared" si="47"/>
        <v>0</v>
      </c>
      <c r="R164" s="165">
        <f t="shared" si="48"/>
        <v>0</v>
      </c>
      <c r="S164" s="17" t="s">
        <v>262</v>
      </c>
      <c r="T164" s="17"/>
      <c r="U164" s="104"/>
      <c r="W164" s="154"/>
      <c r="X164" s="119">
        <v>19</v>
      </c>
      <c r="Y164" s="111"/>
      <c r="Z164" s="118">
        <v>1</v>
      </c>
      <c r="AA164" s="111"/>
      <c r="AB164" s="117" t="str">
        <f>VLOOKUP(O164,{"甲级","1.2";"乙级","1.0";"丙级","0.8";"试验","0.1"},2,0)</f>
        <v>0.1</v>
      </c>
      <c r="AC164" s="111"/>
      <c r="AD164" s="130">
        <f t="shared" si="40"/>
        <v>-19</v>
      </c>
      <c r="AE164" s="130">
        <f t="shared" si="41"/>
        <v>-1</v>
      </c>
      <c r="AF164" s="130">
        <f t="shared" si="42"/>
        <v>-0.1</v>
      </c>
      <c r="AG164" s="131"/>
      <c r="AH164" s="131"/>
      <c r="AI164" s="131"/>
      <c r="AJ164" s="131"/>
      <c r="AK164" s="131"/>
      <c r="AL164" s="131"/>
      <c r="AM164" s="131"/>
      <c r="AN164" s="131"/>
      <c r="AO164" s="131"/>
    </row>
    <row r="165" spans="1:41" s="47" customFormat="1" ht="24" x14ac:dyDescent="0.25">
      <c r="A165" s="14">
        <v>161</v>
      </c>
      <c r="B165" s="209"/>
      <c r="C165" s="209"/>
      <c r="D165" s="14" t="s">
        <v>266</v>
      </c>
      <c r="E165" s="42" t="s">
        <v>529</v>
      </c>
      <c r="F165" s="14"/>
      <c r="G165" s="17" t="s">
        <v>152</v>
      </c>
      <c r="H165" s="162"/>
      <c r="I165" s="17">
        <v>40</v>
      </c>
      <c r="J165" s="17"/>
      <c r="K165" s="17"/>
      <c r="L165" s="17"/>
      <c r="M165" s="163"/>
      <c r="N165" s="165">
        <f t="shared" si="46"/>
        <v>0</v>
      </c>
      <c r="O165" s="14" t="s">
        <v>261</v>
      </c>
      <c r="P165" s="38"/>
      <c r="Q165" s="165">
        <f t="shared" si="47"/>
        <v>0</v>
      </c>
      <c r="R165" s="165">
        <f t="shared" si="48"/>
        <v>0</v>
      </c>
      <c r="S165" s="17" t="s">
        <v>433</v>
      </c>
      <c r="T165" s="17"/>
      <c r="U165" s="104"/>
      <c r="W165" s="154"/>
      <c r="X165" s="119">
        <v>26</v>
      </c>
      <c r="Y165" s="111"/>
      <c r="Z165" s="118">
        <v>1</v>
      </c>
      <c r="AA165" s="111"/>
      <c r="AB165" s="117" t="str">
        <f>VLOOKUP(O165,{"甲级","1.2";"乙级","1.0";"丙级","0.8";"试验","0.1"},2,0)</f>
        <v>0.1</v>
      </c>
      <c r="AC165" s="111"/>
      <c r="AD165" s="130">
        <f t="shared" si="40"/>
        <v>-26</v>
      </c>
      <c r="AE165" s="130">
        <f t="shared" si="41"/>
        <v>-1</v>
      </c>
      <c r="AF165" s="130">
        <f t="shared" si="42"/>
        <v>-0.1</v>
      </c>
      <c r="AG165" s="131"/>
      <c r="AH165" s="131"/>
      <c r="AI165" s="131"/>
      <c r="AJ165" s="131"/>
      <c r="AK165" s="131"/>
      <c r="AL165" s="131"/>
      <c r="AM165" s="131"/>
      <c r="AN165" s="131"/>
      <c r="AO165" s="131"/>
    </row>
    <row r="166" spans="1:41" s="47" customFormat="1" ht="24" x14ac:dyDescent="0.25">
      <c r="A166" s="14">
        <v>162</v>
      </c>
      <c r="B166" s="209"/>
      <c r="C166" s="209"/>
      <c r="D166" s="14"/>
      <c r="E166" s="42" t="s">
        <v>391</v>
      </c>
      <c r="F166" s="14"/>
      <c r="G166" s="17" t="s">
        <v>152</v>
      </c>
      <c r="H166" s="162"/>
      <c r="I166" s="17"/>
      <c r="J166" s="17"/>
      <c r="K166" s="17"/>
      <c r="L166" s="17"/>
      <c r="M166" s="163"/>
      <c r="N166" s="165">
        <f t="shared" si="46"/>
        <v>0</v>
      </c>
      <c r="O166" s="14" t="s">
        <v>261</v>
      </c>
      <c r="P166" s="38"/>
      <c r="Q166" s="165">
        <f t="shared" si="47"/>
        <v>0</v>
      </c>
      <c r="R166" s="165">
        <f t="shared" si="48"/>
        <v>0</v>
      </c>
      <c r="S166" s="17" t="s">
        <v>262</v>
      </c>
      <c r="T166" s="17"/>
      <c r="U166" s="104"/>
      <c r="W166" s="154"/>
      <c r="X166" s="119">
        <v>40</v>
      </c>
      <c r="Y166" s="111"/>
      <c r="Z166" s="118">
        <v>1</v>
      </c>
      <c r="AA166" s="111"/>
      <c r="AB166" s="117" t="str">
        <f>VLOOKUP(O166,{"甲级","1.2";"乙级","1.0";"丙级","0.8";"试验","0.1"},2,0)</f>
        <v>0.1</v>
      </c>
      <c r="AC166" s="111"/>
      <c r="AD166" s="130">
        <f t="shared" si="40"/>
        <v>-40</v>
      </c>
      <c r="AE166" s="130">
        <f t="shared" si="41"/>
        <v>-1</v>
      </c>
      <c r="AF166" s="130">
        <f t="shared" si="42"/>
        <v>-0.1</v>
      </c>
      <c r="AG166" s="131"/>
      <c r="AH166" s="131"/>
      <c r="AI166" s="131"/>
      <c r="AJ166" s="131"/>
      <c r="AK166" s="131"/>
      <c r="AL166" s="131"/>
      <c r="AM166" s="131"/>
      <c r="AN166" s="131"/>
      <c r="AO166" s="131"/>
    </row>
    <row r="167" spans="1:41" s="47" customFormat="1" ht="14.4" x14ac:dyDescent="0.25">
      <c r="A167" s="14">
        <v>163</v>
      </c>
      <c r="B167" s="209"/>
      <c r="C167" s="209"/>
      <c r="D167" s="208" t="s">
        <v>267</v>
      </c>
      <c r="E167" s="89" t="s">
        <v>268</v>
      </c>
      <c r="F167" s="14"/>
      <c r="G167" s="17" t="s">
        <v>152</v>
      </c>
      <c r="H167" s="162"/>
      <c r="I167" s="17"/>
      <c r="J167" s="17"/>
      <c r="K167" s="17"/>
      <c r="L167" s="17"/>
      <c r="M167" s="163"/>
      <c r="N167" s="165">
        <f t="shared" si="46"/>
        <v>0</v>
      </c>
      <c r="O167" s="14" t="s">
        <v>261</v>
      </c>
      <c r="P167" s="38"/>
      <c r="Q167" s="165">
        <f t="shared" si="47"/>
        <v>0</v>
      </c>
      <c r="R167" s="165">
        <f t="shared" si="48"/>
        <v>0</v>
      </c>
      <c r="S167" s="17" t="s">
        <v>262</v>
      </c>
      <c r="T167" s="17"/>
      <c r="U167" s="104"/>
      <c r="W167" s="154"/>
      <c r="X167" s="119">
        <v>23</v>
      </c>
      <c r="Y167" s="111"/>
      <c r="Z167" s="118">
        <v>1</v>
      </c>
      <c r="AA167" s="111"/>
      <c r="AB167" s="117" t="str">
        <f>VLOOKUP(O167,{"甲级","1.2";"乙级","1.0";"丙级","0.8";"试验","0.1"},2,0)</f>
        <v>0.1</v>
      </c>
      <c r="AC167" s="111"/>
      <c r="AD167" s="130">
        <f t="shared" si="40"/>
        <v>-23</v>
      </c>
      <c r="AE167" s="130">
        <f t="shared" si="41"/>
        <v>-1</v>
      </c>
      <c r="AF167" s="130">
        <f t="shared" si="42"/>
        <v>-0.1</v>
      </c>
      <c r="AG167" s="131"/>
      <c r="AH167" s="131"/>
      <c r="AI167" s="131"/>
      <c r="AJ167" s="131"/>
      <c r="AK167" s="131"/>
      <c r="AL167" s="131"/>
      <c r="AM167" s="131"/>
      <c r="AN167" s="131"/>
      <c r="AO167" s="131"/>
    </row>
    <row r="168" spans="1:41" s="47" customFormat="1" ht="14.4" x14ac:dyDescent="0.25">
      <c r="A168" s="14">
        <v>164</v>
      </c>
      <c r="B168" s="209"/>
      <c r="C168" s="209"/>
      <c r="D168" s="208"/>
      <c r="E168" s="89" t="s">
        <v>269</v>
      </c>
      <c r="F168" s="14"/>
      <c r="G168" s="17" t="s">
        <v>152</v>
      </c>
      <c r="H168" s="162"/>
      <c r="I168" s="17">
        <v>66</v>
      </c>
      <c r="J168" s="17"/>
      <c r="K168" s="17"/>
      <c r="L168" s="17"/>
      <c r="M168" s="163"/>
      <c r="N168" s="165">
        <f t="shared" ref="N168:N188" si="49">H168*I168*M168</f>
        <v>0</v>
      </c>
      <c r="O168" s="14" t="s">
        <v>261</v>
      </c>
      <c r="P168" s="38"/>
      <c r="Q168" s="165">
        <f t="shared" ref="Q168:Q188" si="50">N168*P168</f>
        <v>0</v>
      </c>
      <c r="R168" s="165">
        <f t="shared" ref="R168:R188" si="51">N168+Q168</f>
        <v>0</v>
      </c>
      <c r="S168" s="17" t="s">
        <v>262</v>
      </c>
      <c r="T168" s="17"/>
      <c r="U168" s="104"/>
      <c r="W168" s="154"/>
      <c r="X168" s="119">
        <v>15</v>
      </c>
      <c r="Y168" s="111"/>
      <c r="Z168" s="118">
        <v>1</v>
      </c>
      <c r="AA168" s="111"/>
      <c r="AB168" s="117" t="str">
        <f>VLOOKUP(O168,{"甲级","1.2";"乙级","1.0";"丙级","0.8";"试验","0.1"},2,0)</f>
        <v>0.1</v>
      </c>
      <c r="AC168" s="111"/>
      <c r="AD168" s="130">
        <f t="shared" si="40"/>
        <v>-15</v>
      </c>
      <c r="AE168" s="130">
        <f t="shared" si="41"/>
        <v>-1</v>
      </c>
      <c r="AF168" s="130">
        <f t="shared" si="42"/>
        <v>-0.1</v>
      </c>
      <c r="AG168" s="131"/>
      <c r="AH168" s="131"/>
      <c r="AI168" s="131"/>
      <c r="AJ168" s="131"/>
      <c r="AK168" s="131"/>
      <c r="AL168" s="131"/>
      <c r="AM168" s="131"/>
      <c r="AN168" s="131"/>
      <c r="AO168" s="131"/>
    </row>
    <row r="169" spans="1:41" s="47" customFormat="1" ht="14.4" x14ac:dyDescent="0.25">
      <c r="A169" s="14">
        <v>165</v>
      </c>
      <c r="B169" s="209"/>
      <c r="C169" s="209"/>
      <c r="D169" s="14" t="s">
        <v>270</v>
      </c>
      <c r="E169" s="42"/>
      <c r="F169" s="14"/>
      <c r="G169" s="17" t="s">
        <v>152</v>
      </c>
      <c r="H169" s="162"/>
      <c r="I169" s="17">
        <v>66</v>
      </c>
      <c r="J169" s="17"/>
      <c r="K169" s="17"/>
      <c r="L169" s="17"/>
      <c r="M169" s="163"/>
      <c r="N169" s="165">
        <f t="shared" si="49"/>
        <v>0</v>
      </c>
      <c r="O169" s="14" t="s">
        <v>261</v>
      </c>
      <c r="P169" s="38"/>
      <c r="Q169" s="165">
        <f t="shared" si="50"/>
        <v>0</v>
      </c>
      <c r="R169" s="165">
        <f t="shared" si="51"/>
        <v>0</v>
      </c>
      <c r="S169" s="17" t="s">
        <v>262</v>
      </c>
      <c r="T169" s="17"/>
      <c r="U169" s="104"/>
      <c r="W169" s="154"/>
      <c r="X169" s="119">
        <v>30</v>
      </c>
      <c r="Y169" s="111"/>
      <c r="Z169" s="118">
        <v>1</v>
      </c>
      <c r="AA169" s="111"/>
      <c r="AB169" s="117" t="str">
        <f>VLOOKUP(O169,{"甲级","1.2";"乙级","1.0";"丙级","0.8";"试验","0.1"},2,0)</f>
        <v>0.1</v>
      </c>
      <c r="AC169" s="111"/>
      <c r="AD169" s="130">
        <f t="shared" si="40"/>
        <v>-30</v>
      </c>
      <c r="AE169" s="130">
        <f t="shared" si="41"/>
        <v>-1</v>
      </c>
      <c r="AF169" s="130">
        <f t="shared" si="42"/>
        <v>-0.1</v>
      </c>
      <c r="AG169" s="131"/>
      <c r="AH169" s="131"/>
      <c r="AI169" s="131"/>
      <c r="AJ169" s="131"/>
      <c r="AK169" s="131"/>
      <c r="AL169" s="131"/>
      <c r="AM169" s="131"/>
      <c r="AN169" s="131"/>
      <c r="AO169" s="131"/>
    </row>
    <row r="170" spans="1:41" s="47" customFormat="1" ht="14.4" x14ac:dyDescent="0.25">
      <c r="A170" s="14">
        <v>166</v>
      </c>
      <c r="B170" s="209"/>
      <c r="C170" s="209"/>
      <c r="D170" s="221" t="s">
        <v>271</v>
      </c>
      <c r="E170" s="89" t="s">
        <v>272</v>
      </c>
      <c r="F170" s="14"/>
      <c r="G170" s="17" t="s">
        <v>152</v>
      </c>
      <c r="H170" s="162"/>
      <c r="I170" s="17"/>
      <c r="J170" s="17"/>
      <c r="K170" s="17"/>
      <c r="L170" s="17"/>
      <c r="M170" s="163"/>
      <c r="N170" s="165">
        <f t="shared" si="49"/>
        <v>0</v>
      </c>
      <c r="O170" s="14" t="s">
        <v>261</v>
      </c>
      <c r="P170" s="38"/>
      <c r="Q170" s="165">
        <f t="shared" si="50"/>
        <v>0</v>
      </c>
      <c r="R170" s="165">
        <f t="shared" si="51"/>
        <v>0</v>
      </c>
      <c r="S170" s="17" t="s">
        <v>262</v>
      </c>
      <c r="T170" s="17"/>
      <c r="U170" s="104"/>
      <c r="W170" s="154"/>
      <c r="X170" s="119">
        <v>319</v>
      </c>
      <c r="Y170" s="111"/>
      <c r="Z170" s="118">
        <v>1</v>
      </c>
      <c r="AA170" s="111"/>
      <c r="AB170" s="117" t="str">
        <f>VLOOKUP(O170,{"甲级","1.2";"乙级","1.0";"丙级","0.8";"试验","0.1"},2,0)</f>
        <v>0.1</v>
      </c>
      <c r="AC170" s="111"/>
      <c r="AD170" s="130">
        <f t="shared" si="40"/>
        <v>-319</v>
      </c>
      <c r="AE170" s="130">
        <f t="shared" si="41"/>
        <v>-1</v>
      </c>
      <c r="AF170" s="130">
        <f t="shared" si="42"/>
        <v>-0.1</v>
      </c>
      <c r="AG170" s="131"/>
      <c r="AH170" s="131"/>
      <c r="AI170" s="131"/>
      <c r="AJ170" s="131"/>
      <c r="AK170" s="131"/>
      <c r="AL170" s="131"/>
      <c r="AM170" s="131"/>
      <c r="AN170" s="131"/>
      <c r="AO170" s="131"/>
    </row>
    <row r="171" spans="1:41" s="47" customFormat="1" ht="14.4" x14ac:dyDescent="0.25">
      <c r="A171" s="14">
        <v>167</v>
      </c>
      <c r="B171" s="209"/>
      <c r="C171" s="209"/>
      <c r="D171" s="221"/>
      <c r="E171" s="89" t="s">
        <v>273</v>
      </c>
      <c r="F171" s="14"/>
      <c r="G171" s="17" t="s">
        <v>152</v>
      </c>
      <c r="H171" s="162"/>
      <c r="I171" s="17"/>
      <c r="J171" s="17"/>
      <c r="K171" s="17"/>
      <c r="L171" s="17"/>
      <c r="M171" s="163"/>
      <c r="N171" s="165">
        <f t="shared" si="49"/>
        <v>0</v>
      </c>
      <c r="O171" s="14" t="s">
        <v>261</v>
      </c>
      <c r="P171" s="38"/>
      <c r="Q171" s="165">
        <f t="shared" si="50"/>
        <v>0</v>
      </c>
      <c r="R171" s="165">
        <f t="shared" si="51"/>
        <v>0</v>
      </c>
      <c r="S171" s="17" t="s">
        <v>262</v>
      </c>
      <c r="T171" s="17"/>
      <c r="U171" s="104"/>
      <c r="W171" s="154"/>
      <c r="X171" s="119">
        <v>638</v>
      </c>
      <c r="Y171" s="111"/>
      <c r="Z171" s="118">
        <v>1</v>
      </c>
      <c r="AA171" s="111"/>
      <c r="AB171" s="117" t="str">
        <f>VLOOKUP(O171,{"甲级","1.2";"乙级","1.0";"丙级","0.8";"试验","0.1"},2,0)</f>
        <v>0.1</v>
      </c>
      <c r="AC171" s="111"/>
      <c r="AD171" s="130">
        <f t="shared" si="40"/>
        <v>-638</v>
      </c>
      <c r="AE171" s="130">
        <f t="shared" si="41"/>
        <v>-1</v>
      </c>
      <c r="AF171" s="130">
        <f t="shared" si="42"/>
        <v>-0.1</v>
      </c>
      <c r="AG171" s="131"/>
      <c r="AH171" s="131"/>
      <c r="AI171" s="131"/>
      <c r="AJ171" s="131"/>
      <c r="AK171" s="131"/>
      <c r="AL171" s="131"/>
      <c r="AM171" s="131"/>
      <c r="AN171" s="131"/>
      <c r="AO171" s="131"/>
    </row>
    <row r="172" spans="1:41" s="47" customFormat="1" ht="14.4" x14ac:dyDescent="0.25">
      <c r="A172" s="14">
        <v>168</v>
      </c>
      <c r="B172" s="209"/>
      <c r="C172" s="209"/>
      <c r="D172" s="221" t="s">
        <v>274</v>
      </c>
      <c r="E172" s="89" t="s">
        <v>275</v>
      </c>
      <c r="F172" s="14"/>
      <c r="G172" s="17" t="s">
        <v>152</v>
      </c>
      <c r="H172" s="162"/>
      <c r="I172" s="17"/>
      <c r="J172" s="17"/>
      <c r="K172" s="17"/>
      <c r="L172" s="17"/>
      <c r="M172" s="163"/>
      <c r="N172" s="165">
        <f t="shared" si="49"/>
        <v>0</v>
      </c>
      <c r="O172" s="14" t="s">
        <v>261</v>
      </c>
      <c r="P172" s="38"/>
      <c r="Q172" s="165">
        <f t="shared" si="50"/>
        <v>0</v>
      </c>
      <c r="R172" s="165">
        <f t="shared" si="51"/>
        <v>0</v>
      </c>
      <c r="S172" s="17" t="s">
        <v>262</v>
      </c>
      <c r="T172" s="17"/>
      <c r="U172" s="104"/>
      <c r="W172" s="154"/>
      <c r="X172" s="119">
        <v>55</v>
      </c>
      <c r="Y172" s="111"/>
      <c r="Z172" s="118">
        <v>1</v>
      </c>
      <c r="AA172" s="111"/>
      <c r="AB172" s="117" t="str">
        <f>VLOOKUP(O172,{"甲级","1.2";"乙级","1.0";"丙级","0.8";"试验","0.1"},2,0)</f>
        <v>0.1</v>
      </c>
      <c r="AC172" s="111"/>
      <c r="AD172" s="130">
        <f t="shared" si="40"/>
        <v>-55</v>
      </c>
      <c r="AE172" s="130">
        <f t="shared" si="41"/>
        <v>-1</v>
      </c>
      <c r="AF172" s="130">
        <f t="shared" si="42"/>
        <v>-0.1</v>
      </c>
      <c r="AG172" s="131"/>
      <c r="AH172" s="131"/>
      <c r="AI172" s="131"/>
      <c r="AJ172" s="131"/>
      <c r="AK172" s="131"/>
      <c r="AL172" s="131"/>
      <c r="AM172" s="131"/>
      <c r="AN172" s="131"/>
      <c r="AO172" s="131"/>
    </row>
    <row r="173" spans="1:41" s="47" customFormat="1" ht="14.4" x14ac:dyDescent="0.25">
      <c r="A173" s="14">
        <v>169</v>
      </c>
      <c r="B173" s="209"/>
      <c r="C173" s="209"/>
      <c r="D173" s="221"/>
      <c r="E173" s="89" t="s">
        <v>276</v>
      </c>
      <c r="F173" s="14"/>
      <c r="G173" s="17" t="s">
        <v>152</v>
      </c>
      <c r="H173" s="162"/>
      <c r="I173" s="17"/>
      <c r="J173" s="17"/>
      <c r="K173" s="17"/>
      <c r="L173" s="17"/>
      <c r="M173" s="163"/>
      <c r="N173" s="165">
        <f t="shared" si="49"/>
        <v>0</v>
      </c>
      <c r="O173" s="14" t="s">
        <v>261</v>
      </c>
      <c r="P173" s="38"/>
      <c r="Q173" s="165">
        <f t="shared" si="50"/>
        <v>0</v>
      </c>
      <c r="R173" s="165">
        <f t="shared" si="51"/>
        <v>0</v>
      </c>
      <c r="S173" s="17" t="s">
        <v>262</v>
      </c>
      <c r="T173" s="17"/>
      <c r="U173" s="104"/>
      <c r="W173" s="154"/>
      <c r="X173" s="119">
        <v>29</v>
      </c>
      <c r="Y173" s="111"/>
      <c r="Z173" s="118">
        <v>1</v>
      </c>
      <c r="AA173" s="111"/>
      <c r="AB173" s="117" t="str">
        <f>VLOOKUP(O173,{"甲级","1.2";"乙级","1.0";"丙级","0.8";"试验","0.1"},2,0)</f>
        <v>0.1</v>
      </c>
      <c r="AC173" s="111"/>
      <c r="AD173" s="130">
        <f t="shared" si="40"/>
        <v>-29</v>
      </c>
      <c r="AE173" s="130">
        <f t="shared" si="41"/>
        <v>-1</v>
      </c>
      <c r="AF173" s="130">
        <f t="shared" si="42"/>
        <v>-0.1</v>
      </c>
      <c r="AG173" s="131"/>
      <c r="AH173" s="131"/>
      <c r="AI173" s="131"/>
      <c r="AJ173" s="131"/>
      <c r="AK173" s="131"/>
      <c r="AL173" s="131"/>
      <c r="AM173" s="131"/>
      <c r="AN173" s="131"/>
      <c r="AO173" s="131"/>
    </row>
    <row r="174" spans="1:41" s="47" customFormat="1" ht="14.4" x14ac:dyDescent="0.25">
      <c r="A174" s="14">
        <v>170</v>
      </c>
      <c r="B174" s="209"/>
      <c r="C174" s="209"/>
      <c r="D174" s="221" t="s">
        <v>277</v>
      </c>
      <c r="E174" s="89" t="s">
        <v>278</v>
      </c>
      <c r="F174" s="14"/>
      <c r="G174" s="17" t="s">
        <v>152</v>
      </c>
      <c r="H174" s="167"/>
      <c r="I174" s="17">
        <v>33</v>
      </c>
      <c r="J174" s="17"/>
      <c r="K174" s="17"/>
      <c r="L174" s="17"/>
      <c r="M174" s="163"/>
      <c r="N174" s="165">
        <f t="shared" si="49"/>
        <v>0</v>
      </c>
      <c r="O174" s="14" t="s">
        <v>261</v>
      </c>
      <c r="P174" s="38"/>
      <c r="Q174" s="165">
        <f t="shared" si="50"/>
        <v>0</v>
      </c>
      <c r="R174" s="165">
        <f t="shared" si="51"/>
        <v>0</v>
      </c>
      <c r="S174" s="17" t="s">
        <v>262</v>
      </c>
      <c r="T174" s="17"/>
      <c r="U174" s="104"/>
      <c r="W174" s="154"/>
      <c r="X174" s="119">
        <v>264</v>
      </c>
      <c r="Y174" s="111"/>
      <c r="Z174" s="118">
        <v>1</v>
      </c>
      <c r="AA174" s="111"/>
      <c r="AB174" s="117" t="str">
        <f>VLOOKUP(O174,{"甲级","1.2";"乙级","1.0";"丙级","0.8";"试验","0.1"},2,0)</f>
        <v>0.1</v>
      </c>
      <c r="AC174" s="111"/>
      <c r="AD174" s="130">
        <f t="shared" si="40"/>
        <v>-264</v>
      </c>
      <c r="AE174" s="130">
        <f t="shared" si="41"/>
        <v>-1</v>
      </c>
      <c r="AF174" s="130">
        <f t="shared" si="42"/>
        <v>-0.1</v>
      </c>
      <c r="AG174" s="131"/>
      <c r="AH174" s="131"/>
      <c r="AI174" s="131"/>
      <c r="AJ174" s="131"/>
      <c r="AK174" s="131"/>
      <c r="AL174" s="131"/>
      <c r="AM174" s="131"/>
      <c r="AN174" s="131"/>
      <c r="AO174" s="131"/>
    </row>
    <row r="175" spans="1:41" s="47" customFormat="1" ht="14.4" x14ac:dyDescent="0.25">
      <c r="A175" s="14">
        <v>171</v>
      </c>
      <c r="B175" s="209"/>
      <c r="C175" s="209"/>
      <c r="D175" s="221"/>
      <c r="E175" s="89" t="s">
        <v>279</v>
      </c>
      <c r="F175" s="14"/>
      <c r="G175" s="17" t="s">
        <v>152</v>
      </c>
      <c r="H175" s="167"/>
      <c r="I175" s="17"/>
      <c r="J175" s="17"/>
      <c r="K175" s="17"/>
      <c r="L175" s="17"/>
      <c r="M175" s="163"/>
      <c r="N175" s="165">
        <f t="shared" si="49"/>
        <v>0</v>
      </c>
      <c r="O175" s="14" t="s">
        <v>261</v>
      </c>
      <c r="P175" s="38"/>
      <c r="Q175" s="165">
        <f t="shared" si="50"/>
        <v>0</v>
      </c>
      <c r="R175" s="165">
        <f t="shared" si="51"/>
        <v>0</v>
      </c>
      <c r="S175" s="17" t="s">
        <v>262</v>
      </c>
      <c r="T175" s="17"/>
      <c r="U175" s="104"/>
      <c r="W175" s="154"/>
      <c r="X175" s="119">
        <v>497</v>
      </c>
      <c r="Y175" s="111"/>
      <c r="Z175" s="118">
        <v>1</v>
      </c>
      <c r="AA175" s="111"/>
      <c r="AB175" s="117" t="str">
        <f>VLOOKUP(O175,{"甲级","1.2";"乙级","1.0";"丙级","0.8";"试验","0.1"},2,0)</f>
        <v>0.1</v>
      </c>
      <c r="AC175" s="111"/>
      <c r="AD175" s="130">
        <f t="shared" si="40"/>
        <v>-497</v>
      </c>
      <c r="AE175" s="130">
        <f t="shared" si="41"/>
        <v>-1</v>
      </c>
      <c r="AF175" s="130">
        <f t="shared" si="42"/>
        <v>-0.1</v>
      </c>
      <c r="AG175" s="131"/>
      <c r="AH175" s="131"/>
      <c r="AI175" s="131"/>
      <c r="AJ175" s="131"/>
      <c r="AK175" s="131"/>
      <c r="AL175" s="131"/>
      <c r="AM175" s="131"/>
      <c r="AN175" s="131"/>
      <c r="AO175" s="131"/>
    </row>
    <row r="176" spans="1:41" s="47" customFormat="1" ht="14.4" x14ac:dyDescent="0.25">
      <c r="A176" s="14">
        <v>172</v>
      </c>
      <c r="B176" s="209"/>
      <c r="C176" s="209"/>
      <c r="D176" s="221" t="s">
        <v>280</v>
      </c>
      <c r="E176" s="89" t="s">
        <v>278</v>
      </c>
      <c r="F176" s="14" t="s">
        <v>281</v>
      </c>
      <c r="G176" s="17" t="s">
        <v>152</v>
      </c>
      <c r="H176" s="167"/>
      <c r="I176" s="17">
        <v>66</v>
      </c>
      <c r="J176" s="17"/>
      <c r="K176" s="17"/>
      <c r="L176" s="17"/>
      <c r="M176" s="163"/>
      <c r="N176" s="165">
        <f t="shared" si="49"/>
        <v>0</v>
      </c>
      <c r="O176" s="14" t="s">
        <v>261</v>
      </c>
      <c r="P176" s="38"/>
      <c r="Q176" s="165">
        <f t="shared" si="50"/>
        <v>0</v>
      </c>
      <c r="R176" s="165">
        <f t="shared" si="51"/>
        <v>0</v>
      </c>
      <c r="S176" s="17" t="s">
        <v>262</v>
      </c>
      <c r="T176" s="17"/>
      <c r="U176" s="104"/>
      <c r="W176" s="154"/>
      <c r="X176" s="119">
        <v>40</v>
      </c>
      <c r="Y176" s="111"/>
      <c r="Z176" s="118">
        <v>1</v>
      </c>
      <c r="AA176" s="111"/>
      <c r="AB176" s="117" t="str">
        <f>VLOOKUP(O176,{"甲级","1.2";"乙级","1.0";"丙级","0.8";"试验","0.1"},2,0)</f>
        <v>0.1</v>
      </c>
      <c r="AC176" s="111"/>
      <c r="AD176" s="130">
        <f t="shared" si="40"/>
        <v>-40</v>
      </c>
      <c r="AE176" s="130">
        <f t="shared" si="41"/>
        <v>-1</v>
      </c>
      <c r="AF176" s="130">
        <f t="shared" si="42"/>
        <v>-0.1</v>
      </c>
      <c r="AG176" s="131"/>
      <c r="AH176" s="131"/>
      <c r="AI176" s="131"/>
      <c r="AJ176" s="131"/>
      <c r="AK176" s="131"/>
      <c r="AL176" s="131"/>
      <c r="AM176" s="131"/>
      <c r="AN176" s="131"/>
      <c r="AO176" s="131"/>
    </row>
    <row r="177" spans="1:41" s="47" customFormat="1" ht="14.4" x14ac:dyDescent="0.25">
      <c r="A177" s="14">
        <v>173</v>
      </c>
      <c r="B177" s="209"/>
      <c r="C177" s="209"/>
      <c r="D177" s="221"/>
      <c r="E177" s="89" t="s">
        <v>279</v>
      </c>
      <c r="F177" s="14" t="s">
        <v>281</v>
      </c>
      <c r="G177" s="17" t="s">
        <v>152</v>
      </c>
      <c r="H177" s="167"/>
      <c r="I177" s="17"/>
      <c r="J177" s="17"/>
      <c r="K177" s="17"/>
      <c r="L177" s="17"/>
      <c r="M177" s="163"/>
      <c r="N177" s="165">
        <f t="shared" si="49"/>
        <v>0</v>
      </c>
      <c r="O177" s="14" t="s">
        <v>261</v>
      </c>
      <c r="P177" s="38"/>
      <c r="Q177" s="165">
        <f t="shared" si="50"/>
        <v>0</v>
      </c>
      <c r="R177" s="165">
        <f t="shared" si="51"/>
        <v>0</v>
      </c>
      <c r="S177" s="17" t="s">
        <v>262</v>
      </c>
      <c r="T177" s="17"/>
      <c r="U177" s="104"/>
      <c r="W177" s="154"/>
      <c r="X177" s="119">
        <v>116</v>
      </c>
      <c r="Y177" s="111"/>
      <c r="Z177" s="118">
        <v>1</v>
      </c>
      <c r="AA177" s="111"/>
      <c r="AB177" s="117" t="str">
        <f>VLOOKUP(O177,{"甲级","1.2";"乙级","1.0";"丙级","0.8";"试验","0.1"},2,0)</f>
        <v>0.1</v>
      </c>
      <c r="AC177" s="111"/>
      <c r="AD177" s="130">
        <f t="shared" si="40"/>
        <v>-116</v>
      </c>
      <c r="AE177" s="130">
        <f t="shared" si="41"/>
        <v>-1</v>
      </c>
      <c r="AF177" s="130">
        <f t="shared" si="42"/>
        <v>-0.1</v>
      </c>
      <c r="AG177" s="131"/>
      <c r="AH177" s="131"/>
      <c r="AI177" s="131"/>
      <c r="AJ177" s="131"/>
      <c r="AK177" s="131"/>
      <c r="AL177" s="131"/>
      <c r="AM177" s="131"/>
      <c r="AN177" s="131"/>
      <c r="AO177" s="131"/>
    </row>
    <row r="178" spans="1:41" s="47" customFormat="1" ht="14.4" x14ac:dyDescent="0.25">
      <c r="A178" s="14">
        <v>174</v>
      </c>
      <c r="B178" s="209"/>
      <c r="C178" s="209"/>
      <c r="D178" s="221" t="s">
        <v>282</v>
      </c>
      <c r="E178" s="89" t="s">
        <v>283</v>
      </c>
      <c r="F178" s="14"/>
      <c r="G178" s="147" t="s">
        <v>284</v>
      </c>
      <c r="H178" s="167"/>
      <c r="I178" s="17"/>
      <c r="J178" s="17"/>
      <c r="K178" s="17"/>
      <c r="L178" s="17"/>
      <c r="M178" s="163"/>
      <c r="N178" s="165">
        <f t="shared" si="49"/>
        <v>0</v>
      </c>
      <c r="O178" s="14" t="s">
        <v>261</v>
      </c>
      <c r="P178" s="38"/>
      <c r="Q178" s="165">
        <f t="shared" si="50"/>
        <v>0</v>
      </c>
      <c r="R178" s="165">
        <f t="shared" si="51"/>
        <v>0</v>
      </c>
      <c r="S178" s="17" t="s">
        <v>262</v>
      </c>
      <c r="T178" s="17"/>
      <c r="U178" s="104"/>
      <c r="W178" s="154"/>
      <c r="X178" s="119">
        <v>413</v>
      </c>
      <c r="Y178" s="111"/>
      <c r="Z178" s="118">
        <v>1</v>
      </c>
      <c r="AA178" s="111"/>
      <c r="AB178" s="117" t="str">
        <f>VLOOKUP(O178,{"甲级","1.2";"乙级","1.0";"丙级","0.8";"试验","0.1"},2,0)</f>
        <v>0.1</v>
      </c>
      <c r="AC178" s="111"/>
      <c r="AD178" s="130">
        <f t="shared" si="40"/>
        <v>-413</v>
      </c>
      <c r="AE178" s="130">
        <f t="shared" si="41"/>
        <v>-1</v>
      </c>
      <c r="AF178" s="130">
        <f t="shared" si="42"/>
        <v>-0.1</v>
      </c>
      <c r="AG178" s="131"/>
      <c r="AH178" s="131"/>
      <c r="AI178" s="131"/>
      <c r="AJ178" s="131"/>
      <c r="AK178" s="131"/>
      <c r="AL178" s="131"/>
      <c r="AM178" s="131"/>
      <c r="AN178" s="131"/>
      <c r="AO178" s="131"/>
    </row>
    <row r="179" spans="1:41" s="47" customFormat="1" ht="14.4" x14ac:dyDescent="0.25">
      <c r="A179" s="14">
        <v>175</v>
      </c>
      <c r="B179" s="209"/>
      <c r="C179" s="209"/>
      <c r="D179" s="221"/>
      <c r="E179" s="89" t="s">
        <v>285</v>
      </c>
      <c r="F179" s="14"/>
      <c r="G179" s="147" t="s">
        <v>284</v>
      </c>
      <c r="H179" s="167"/>
      <c r="I179" s="17"/>
      <c r="J179" s="17"/>
      <c r="K179" s="17"/>
      <c r="L179" s="17"/>
      <c r="M179" s="163"/>
      <c r="N179" s="165">
        <f t="shared" si="49"/>
        <v>0</v>
      </c>
      <c r="O179" s="14" t="s">
        <v>261</v>
      </c>
      <c r="P179" s="38"/>
      <c r="Q179" s="165">
        <f t="shared" si="50"/>
        <v>0</v>
      </c>
      <c r="R179" s="165">
        <f t="shared" si="51"/>
        <v>0</v>
      </c>
      <c r="S179" s="17" t="s">
        <v>262</v>
      </c>
      <c r="T179" s="17"/>
      <c r="U179" s="104"/>
      <c r="W179" s="154"/>
      <c r="X179" s="119">
        <v>775</v>
      </c>
      <c r="Y179" s="111"/>
      <c r="Z179" s="118">
        <v>1</v>
      </c>
      <c r="AA179" s="111"/>
      <c r="AB179" s="117" t="str">
        <f>VLOOKUP(O179,{"甲级","1.2";"乙级","1.0";"丙级","0.8";"试验","0.1"},2,0)</f>
        <v>0.1</v>
      </c>
      <c r="AC179" s="111"/>
      <c r="AD179" s="130">
        <f t="shared" si="40"/>
        <v>-775</v>
      </c>
      <c r="AE179" s="130">
        <f t="shared" si="41"/>
        <v>-1</v>
      </c>
      <c r="AF179" s="130">
        <f t="shared" si="42"/>
        <v>-0.1</v>
      </c>
      <c r="AG179" s="131"/>
      <c r="AH179" s="131"/>
      <c r="AI179" s="131"/>
      <c r="AJ179" s="131"/>
      <c r="AK179" s="131"/>
      <c r="AL179" s="131"/>
      <c r="AM179" s="131"/>
      <c r="AN179" s="131"/>
      <c r="AO179" s="131"/>
    </row>
    <row r="180" spans="1:41" s="47" customFormat="1" ht="24" x14ac:dyDescent="0.25">
      <c r="A180" s="14">
        <v>176</v>
      </c>
      <c r="B180" s="209"/>
      <c r="C180" s="209"/>
      <c r="D180" s="221"/>
      <c r="E180" s="89" t="s">
        <v>286</v>
      </c>
      <c r="F180" s="14"/>
      <c r="G180" s="147" t="s">
        <v>284</v>
      </c>
      <c r="H180" s="167"/>
      <c r="I180" s="17"/>
      <c r="J180" s="17"/>
      <c r="K180" s="17"/>
      <c r="L180" s="17"/>
      <c r="M180" s="163"/>
      <c r="N180" s="165">
        <f t="shared" si="49"/>
        <v>0</v>
      </c>
      <c r="O180" s="14" t="s">
        <v>261</v>
      </c>
      <c r="P180" s="38"/>
      <c r="Q180" s="165">
        <f t="shared" si="50"/>
        <v>0</v>
      </c>
      <c r="R180" s="165">
        <f t="shared" si="51"/>
        <v>0</v>
      </c>
      <c r="S180" s="17" t="s">
        <v>262</v>
      </c>
      <c r="T180" s="17"/>
      <c r="U180" s="104"/>
      <c r="W180" s="154"/>
      <c r="X180" s="119">
        <v>930</v>
      </c>
      <c r="Y180" s="111"/>
      <c r="Z180" s="118">
        <v>1</v>
      </c>
      <c r="AA180" s="111"/>
      <c r="AB180" s="117" t="str">
        <f>VLOOKUP(O180,{"甲级","1.2";"乙级","1.0";"丙级","0.8";"试验","0.1"},2,0)</f>
        <v>0.1</v>
      </c>
      <c r="AC180" s="111"/>
      <c r="AD180" s="130">
        <f t="shared" si="40"/>
        <v>-930</v>
      </c>
      <c r="AE180" s="130">
        <f t="shared" si="41"/>
        <v>-1</v>
      </c>
      <c r="AF180" s="130">
        <f t="shared" si="42"/>
        <v>-0.1</v>
      </c>
      <c r="AG180" s="131"/>
      <c r="AH180" s="131"/>
      <c r="AI180" s="131"/>
      <c r="AJ180" s="131"/>
      <c r="AK180" s="131"/>
      <c r="AL180" s="131"/>
      <c r="AM180" s="131"/>
      <c r="AN180" s="131"/>
      <c r="AO180" s="131"/>
    </row>
    <row r="181" spans="1:41" s="47" customFormat="1" ht="14.4" x14ac:dyDescent="0.25">
      <c r="A181" s="14">
        <v>177</v>
      </c>
      <c r="B181" s="209"/>
      <c r="C181" s="209"/>
      <c r="D181" s="221"/>
      <c r="E181" s="89" t="s">
        <v>287</v>
      </c>
      <c r="F181" s="14"/>
      <c r="G181" s="147" t="s">
        <v>284</v>
      </c>
      <c r="H181" s="167"/>
      <c r="I181" s="17"/>
      <c r="J181" s="17"/>
      <c r="K181" s="17"/>
      <c r="L181" s="17"/>
      <c r="M181" s="163"/>
      <c r="N181" s="165">
        <f t="shared" si="49"/>
        <v>0</v>
      </c>
      <c r="O181" s="14" t="s">
        <v>261</v>
      </c>
      <c r="P181" s="38"/>
      <c r="Q181" s="165">
        <f t="shared" si="50"/>
        <v>0</v>
      </c>
      <c r="R181" s="165">
        <f t="shared" si="51"/>
        <v>0</v>
      </c>
      <c r="S181" s="17" t="s">
        <v>262</v>
      </c>
      <c r="T181" s="17"/>
      <c r="U181" s="104"/>
      <c r="W181" s="154"/>
      <c r="X181" s="119">
        <v>1240</v>
      </c>
      <c r="Y181" s="111"/>
      <c r="Z181" s="118">
        <v>1</v>
      </c>
      <c r="AA181" s="111"/>
      <c r="AB181" s="117" t="str">
        <f>VLOOKUP(O181,{"甲级","1.2";"乙级","1.0";"丙级","0.8";"试验","0.1"},2,0)</f>
        <v>0.1</v>
      </c>
      <c r="AC181" s="111"/>
      <c r="AD181" s="130">
        <f t="shared" si="40"/>
        <v>-1240</v>
      </c>
      <c r="AE181" s="130">
        <f t="shared" si="41"/>
        <v>-1</v>
      </c>
      <c r="AF181" s="130">
        <f t="shared" si="42"/>
        <v>-0.1</v>
      </c>
      <c r="AG181" s="131"/>
      <c r="AH181" s="131"/>
      <c r="AI181" s="131"/>
      <c r="AJ181" s="131"/>
      <c r="AK181" s="131"/>
      <c r="AL181" s="131"/>
      <c r="AM181" s="131"/>
      <c r="AN181" s="131"/>
      <c r="AO181" s="131"/>
    </row>
    <row r="182" spans="1:41" s="47" customFormat="1" ht="14.4" x14ac:dyDescent="0.25">
      <c r="A182" s="14">
        <v>178</v>
      </c>
      <c r="B182" s="209"/>
      <c r="C182" s="209"/>
      <c r="D182" s="221" t="s">
        <v>288</v>
      </c>
      <c r="E182" s="89" t="s">
        <v>289</v>
      </c>
      <c r="F182" s="14"/>
      <c r="G182" s="147" t="s">
        <v>284</v>
      </c>
      <c r="H182" s="167"/>
      <c r="I182" s="17">
        <v>66</v>
      </c>
      <c r="J182" s="17"/>
      <c r="K182" s="17"/>
      <c r="L182" s="17"/>
      <c r="M182" s="163"/>
      <c r="N182" s="165">
        <f t="shared" si="49"/>
        <v>0</v>
      </c>
      <c r="O182" s="14" t="s">
        <v>261</v>
      </c>
      <c r="P182" s="38"/>
      <c r="Q182" s="165">
        <f t="shared" si="50"/>
        <v>0</v>
      </c>
      <c r="R182" s="165">
        <f t="shared" si="51"/>
        <v>0</v>
      </c>
      <c r="S182" s="17" t="s">
        <v>262</v>
      </c>
      <c r="T182" s="17"/>
      <c r="U182" s="104"/>
      <c r="W182" s="154"/>
      <c r="X182" s="119">
        <v>49</v>
      </c>
      <c r="Y182" s="111"/>
      <c r="Z182" s="118">
        <v>1</v>
      </c>
      <c r="AA182" s="111"/>
      <c r="AB182" s="117" t="str">
        <f>VLOOKUP(O182,{"甲级","1.2";"乙级","1.0";"丙级","0.8";"试验","0.1"},2,0)</f>
        <v>0.1</v>
      </c>
      <c r="AC182" s="111"/>
      <c r="AD182" s="130">
        <f t="shared" si="40"/>
        <v>-49</v>
      </c>
      <c r="AE182" s="130">
        <f t="shared" si="41"/>
        <v>-1</v>
      </c>
      <c r="AF182" s="130">
        <f t="shared" si="42"/>
        <v>-0.1</v>
      </c>
      <c r="AG182" s="131"/>
      <c r="AH182" s="131"/>
      <c r="AI182" s="131"/>
      <c r="AJ182" s="131"/>
      <c r="AK182" s="131"/>
      <c r="AL182" s="131"/>
      <c r="AM182" s="131"/>
      <c r="AN182" s="131"/>
      <c r="AO182" s="131"/>
    </row>
    <row r="183" spans="1:41" s="47" customFormat="1" ht="14.4" x14ac:dyDescent="0.25">
      <c r="A183" s="14">
        <v>179</v>
      </c>
      <c r="B183" s="209"/>
      <c r="C183" s="209"/>
      <c r="D183" s="221"/>
      <c r="E183" s="89" t="s">
        <v>290</v>
      </c>
      <c r="F183" s="14"/>
      <c r="G183" s="147" t="s">
        <v>284</v>
      </c>
      <c r="H183" s="167"/>
      <c r="I183" s="17"/>
      <c r="J183" s="17"/>
      <c r="K183" s="17"/>
      <c r="L183" s="17"/>
      <c r="M183" s="163"/>
      <c r="N183" s="165">
        <f t="shared" si="49"/>
        <v>0</v>
      </c>
      <c r="O183" s="14" t="s">
        <v>261</v>
      </c>
      <c r="P183" s="38"/>
      <c r="Q183" s="165">
        <f t="shared" si="50"/>
        <v>0</v>
      </c>
      <c r="R183" s="165">
        <f t="shared" si="51"/>
        <v>0</v>
      </c>
      <c r="S183" s="17" t="s">
        <v>262</v>
      </c>
      <c r="T183" s="17"/>
      <c r="U183" s="104"/>
      <c r="W183" s="154"/>
      <c r="X183" s="119">
        <v>71</v>
      </c>
      <c r="Y183" s="111"/>
      <c r="Z183" s="118">
        <v>1</v>
      </c>
      <c r="AA183" s="111"/>
      <c r="AB183" s="117" t="str">
        <f>VLOOKUP(O183,{"甲级","1.2";"乙级","1.0";"丙级","0.8";"试验","0.1"},2,0)</f>
        <v>0.1</v>
      </c>
      <c r="AC183" s="111"/>
      <c r="AD183" s="130">
        <f t="shared" si="40"/>
        <v>-71</v>
      </c>
      <c r="AE183" s="130">
        <f t="shared" si="41"/>
        <v>-1</v>
      </c>
      <c r="AF183" s="130">
        <f t="shared" si="42"/>
        <v>-0.1</v>
      </c>
      <c r="AG183" s="131"/>
      <c r="AH183" s="131"/>
      <c r="AI183" s="131"/>
      <c r="AJ183" s="131"/>
      <c r="AK183" s="131"/>
      <c r="AL183" s="131"/>
      <c r="AM183" s="131"/>
      <c r="AN183" s="131"/>
      <c r="AO183" s="131"/>
    </row>
    <row r="184" spans="1:41" s="47" customFormat="1" ht="14.4" x14ac:dyDescent="0.25">
      <c r="A184" s="14">
        <v>180</v>
      </c>
      <c r="B184" s="209"/>
      <c r="C184" s="209"/>
      <c r="D184" s="221"/>
      <c r="E184" s="89" t="s">
        <v>291</v>
      </c>
      <c r="F184" s="14"/>
      <c r="G184" s="147" t="s">
        <v>284</v>
      </c>
      <c r="H184" s="167"/>
      <c r="I184" s="17"/>
      <c r="J184" s="17"/>
      <c r="K184" s="17"/>
      <c r="L184" s="17"/>
      <c r="M184" s="163"/>
      <c r="N184" s="165">
        <f t="shared" si="49"/>
        <v>0</v>
      </c>
      <c r="O184" s="14" t="s">
        <v>261</v>
      </c>
      <c r="P184" s="38"/>
      <c r="Q184" s="165">
        <f t="shared" si="50"/>
        <v>0</v>
      </c>
      <c r="R184" s="165">
        <f t="shared" si="51"/>
        <v>0</v>
      </c>
      <c r="S184" s="17" t="s">
        <v>262</v>
      </c>
      <c r="T184" s="17"/>
      <c r="U184" s="104"/>
      <c r="W184" s="154"/>
      <c r="X184" s="119">
        <v>99</v>
      </c>
      <c r="Y184" s="111"/>
      <c r="Z184" s="118">
        <v>1</v>
      </c>
      <c r="AA184" s="111"/>
      <c r="AB184" s="117" t="str">
        <f>VLOOKUP(O184,{"甲级","1.2";"乙级","1.0";"丙级","0.8";"试验","0.1"},2,0)</f>
        <v>0.1</v>
      </c>
      <c r="AC184" s="111"/>
      <c r="AD184" s="130">
        <f t="shared" si="40"/>
        <v>-99</v>
      </c>
      <c r="AE184" s="130">
        <f t="shared" si="41"/>
        <v>-1</v>
      </c>
      <c r="AF184" s="130">
        <f t="shared" si="42"/>
        <v>-0.1</v>
      </c>
      <c r="AG184" s="131"/>
      <c r="AH184" s="131"/>
      <c r="AI184" s="131"/>
      <c r="AJ184" s="131"/>
      <c r="AK184" s="131"/>
      <c r="AL184" s="131"/>
      <c r="AM184" s="131"/>
      <c r="AN184" s="131"/>
      <c r="AO184" s="131"/>
    </row>
    <row r="185" spans="1:41" s="47" customFormat="1" ht="14.4" x14ac:dyDescent="0.25">
      <c r="A185" s="14">
        <v>181</v>
      </c>
      <c r="B185" s="209"/>
      <c r="C185" s="209"/>
      <c r="D185" s="213" t="s">
        <v>368</v>
      </c>
      <c r="E185" s="221" t="s">
        <v>292</v>
      </c>
      <c r="F185" s="14"/>
      <c r="G185" s="147" t="s">
        <v>284</v>
      </c>
      <c r="H185" s="167"/>
      <c r="I185" s="17"/>
      <c r="J185" s="17"/>
      <c r="K185" s="17"/>
      <c r="L185" s="17"/>
      <c r="M185" s="163"/>
      <c r="N185" s="165">
        <f t="shared" si="49"/>
        <v>0</v>
      </c>
      <c r="O185" s="14" t="s">
        <v>261</v>
      </c>
      <c r="P185" s="38"/>
      <c r="Q185" s="165">
        <f t="shared" si="50"/>
        <v>0</v>
      </c>
      <c r="R185" s="165">
        <f t="shared" si="51"/>
        <v>0</v>
      </c>
      <c r="S185" s="17" t="s">
        <v>262</v>
      </c>
      <c r="T185" s="17"/>
      <c r="U185" s="104"/>
      <c r="W185" s="154"/>
      <c r="X185" s="119">
        <v>53</v>
      </c>
      <c r="Y185" s="111"/>
      <c r="Z185" s="118">
        <v>1</v>
      </c>
      <c r="AA185" s="111"/>
      <c r="AB185" s="117" t="str">
        <f>VLOOKUP(O185,{"甲级","1.2";"乙级","1.0";"丙级","0.8";"试验","0.1"},2,0)</f>
        <v>0.1</v>
      </c>
      <c r="AC185" s="111"/>
      <c r="AD185" s="130">
        <f t="shared" si="40"/>
        <v>-53</v>
      </c>
      <c r="AE185" s="130">
        <f t="shared" si="41"/>
        <v>-1</v>
      </c>
      <c r="AF185" s="130">
        <f t="shared" si="42"/>
        <v>-0.1</v>
      </c>
      <c r="AG185" s="131"/>
      <c r="AH185" s="131"/>
      <c r="AI185" s="131"/>
      <c r="AJ185" s="131"/>
      <c r="AK185" s="131"/>
      <c r="AL185" s="131"/>
      <c r="AM185" s="131"/>
      <c r="AN185" s="131"/>
      <c r="AO185" s="131"/>
    </row>
    <row r="186" spans="1:41" s="47" customFormat="1" ht="14.4" x14ac:dyDescent="0.25">
      <c r="A186" s="14">
        <v>182</v>
      </c>
      <c r="B186" s="209"/>
      <c r="C186" s="209"/>
      <c r="D186" s="210"/>
      <c r="E186" s="221"/>
      <c r="F186" s="89" t="s">
        <v>293</v>
      </c>
      <c r="G186" s="147" t="s">
        <v>284</v>
      </c>
      <c r="H186" s="167"/>
      <c r="I186" s="17"/>
      <c r="J186" s="17"/>
      <c r="K186" s="17"/>
      <c r="L186" s="17"/>
      <c r="M186" s="163"/>
      <c r="N186" s="165">
        <f t="shared" si="49"/>
        <v>0</v>
      </c>
      <c r="O186" s="14" t="s">
        <v>261</v>
      </c>
      <c r="P186" s="38"/>
      <c r="Q186" s="165">
        <f t="shared" si="50"/>
        <v>0</v>
      </c>
      <c r="R186" s="165">
        <f t="shared" si="51"/>
        <v>0</v>
      </c>
      <c r="S186" s="17" t="s">
        <v>262</v>
      </c>
      <c r="T186" s="17"/>
      <c r="U186" s="104"/>
      <c r="W186" s="154"/>
      <c r="X186" s="119">
        <v>23</v>
      </c>
      <c r="Y186" s="111"/>
      <c r="Z186" s="118">
        <v>1</v>
      </c>
      <c r="AA186" s="111"/>
      <c r="AB186" s="117" t="str">
        <f>VLOOKUP(O186,{"甲级","1.2";"乙级","1.0";"丙级","0.8";"试验","0.1"},2,0)</f>
        <v>0.1</v>
      </c>
      <c r="AC186" s="111"/>
      <c r="AD186" s="130">
        <f t="shared" si="40"/>
        <v>-23</v>
      </c>
      <c r="AE186" s="130">
        <f t="shared" si="41"/>
        <v>-1</v>
      </c>
      <c r="AF186" s="130">
        <f t="shared" si="42"/>
        <v>-0.1</v>
      </c>
      <c r="AG186" s="131"/>
      <c r="AH186" s="131"/>
      <c r="AI186" s="131"/>
      <c r="AJ186" s="131"/>
      <c r="AK186" s="131"/>
      <c r="AL186" s="131"/>
      <c r="AM186" s="131"/>
      <c r="AN186" s="131"/>
      <c r="AO186" s="131"/>
    </row>
    <row r="187" spans="1:41" s="47" customFormat="1" ht="14.4" x14ac:dyDescent="0.25">
      <c r="A187" s="14">
        <v>183</v>
      </c>
      <c r="B187" s="209"/>
      <c r="C187" s="209"/>
      <c r="D187" s="210"/>
      <c r="E187" s="221" t="s">
        <v>294</v>
      </c>
      <c r="F187" s="89" t="s">
        <v>295</v>
      </c>
      <c r="G187" s="89" t="s">
        <v>296</v>
      </c>
      <c r="H187" s="167"/>
      <c r="I187" s="17"/>
      <c r="J187" s="17"/>
      <c r="K187" s="17"/>
      <c r="L187" s="17"/>
      <c r="M187" s="163"/>
      <c r="N187" s="165">
        <f t="shared" si="49"/>
        <v>0</v>
      </c>
      <c r="O187" s="14" t="s">
        <v>261</v>
      </c>
      <c r="P187" s="38"/>
      <c r="Q187" s="165">
        <f t="shared" si="50"/>
        <v>0</v>
      </c>
      <c r="R187" s="165">
        <f t="shared" si="51"/>
        <v>0</v>
      </c>
      <c r="S187" s="17" t="s">
        <v>262</v>
      </c>
      <c r="T187" s="17"/>
      <c r="U187" s="104"/>
      <c r="W187" s="154"/>
      <c r="X187" s="119">
        <v>137</v>
      </c>
      <c r="Y187" s="111"/>
      <c r="Z187" s="118">
        <v>1</v>
      </c>
      <c r="AA187" s="111"/>
      <c r="AB187" s="117" t="str">
        <f>VLOOKUP(O187,{"甲级","1.2";"乙级","1.0";"丙级","0.8";"试验","0.1"},2,0)</f>
        <v>0.1</v>
      </c>
      <c r="AC187" s="111"/>
      <c r="AD187" s="130">
        <f t="shared" si="40"/>
        <v>-137</v>
      </c>
      <c r="AE187" s="130">
        <f t="shared" si="41"/>
        <v>-1</v>
      </c>
      <c r="AF187" s="130">
        <f t="shared" si="42"/>
        <v>-0.1</v>
      </c>
      <c r="AG187" s="131"/>
      <c r="AH187" s="131"/>
      <c r="AI187" s="131"/>
      <c r="AJ187" s="131"/>
      <c r="AK187" s="131"/>
      <c r="AL187" s="131"/>
      <c r="AM187" s="131"/>
      <c r="AN187" s="131"/>
      <c r="AO187" s="131"/>
    </row>
    <row r="188" spans="1:41" s="47" customFormat="1" ht="14.4" x14ac:dyDescent="0.25">
      <c r="A188" s="14">
        <v>184</v>
      </c>
      <c r="B188" s="209"/>
      <c r="C188" s="209"/>
      <c r="D188" s="210"/>
      <c r="E188" s="221"/>
      <c r="F188" s="89" t="s">
        <v>297</v>
      </c>
      <c r="G188" s="89" t="s">
        <v>298</v>
      </c>
      <c r="H188" s="167"/>
      <c r="I188" s="17"/>
      <c r="J188" s="17"/>
      <c r="K188" s="17"/>
      <c r="L188" s="17"/>
      <c r="M188" s="163"/>
      <c r="N188" s="165">
        <f t="shared" si="49"/>
        <v>0</v>
      </c>
      <c r="O188" s="14" t="s">
        <v>261</v>
      </c>
      <c r="P188" s="38"/>
      <c r="Q188" s="165">
        <f t="shared" si="50"/>
        <v>0</v>
      </c>
      <c r="R188" s="165">
        <f t="shared" si="51"/>
        <v>0</v>
      </c>
      <c r="S188" s="17" t="s">
        <v>262</v>
      </c>
      <c r="T188" s="17"/>
      <c r="U188" s="104"/>
      <c r="W188" s="154"/>
      <c r="X188" s="119">
        <v>56</v>
      </c>
      <c r="Y188" s="111"/>
      <c r="Z188" s="118">
        <v>1</v>
      </c>
      <c r="AA188" s="111"/>
      <c r="AB188" s="117" t="str">
        <f>VLOOKUP(O188,{"甲级","1.2";"乙级","1.0";"丙级","0.8";"试验","0.1"},2,0)</f>
        <v>0.1</v>
      </c>
      <c r="AC188" s="111"/>
      <c r="AD188" s="130">
        <f t="shared" si="40"/>
        <v>-56</v>
      </c>
      <c r="AE188" s="130">
        <f t="shared" si="41"/>
        <v>-1</v>
      </c>
      <c r="AF188" s="130">
        <f t="shared" si="42"/>
        <v>-0.1</v>
      </c>
      <c r="AG188" s="131"/>
      <c r="AH188" s="131"/>
      <c r="AI188" s="131"/>
      <c r="AJ188" s="131"/>
      <c r="AK188" s="131"/>
      <c r="AL188" s="131"/>
      <c r="AM188" s="131"/>
      <c r="AN188" s="131"/>
      <c r="AO188" s="131"/>
    </row>
    <row r="189" spans="1:41" s="47" customFormat="1" ht="14.4" x14ac:dyDescent="0.25">
      <c r="A189" s="14">
        <v>185</v>
      </c>
      <c r="B189" s="209"/>
      <c r="C189" s="209"/>
      <c r="D189" s="210" t="s">
        <v>299</v>
      </c>
      <c r="E189" s="14" t="s">
        <v>300</v>
      </c>
      <c r="F189" s="14"/>
      <c r="G189" s="17" t="s">
        <v>152</v>
      </c>
      <c r="H189" s="162"/>
      <c r="I189" s="17"/>
      <c r="J189" s="17"/>
      <c r="K189" s="17"/>
      <c r="L189" s="17"/>
      <c r="M189" s="163"/>
      <c r="N189" s="165">
        <f t="shared" ref="N189:N196" si="52">H189*I189*M189</f>
        <v>0</v>
      </c>
      <c r="O189" s="14" t="s">
        <v>261</v>
      </c>
      <c r="P189" s="38"/>
      <c r="Q189" s="165">
        <f t="shared" ref="Q189:Q196" si="53">N189*P189</f>
        <v>0</v>
      </c>
      <c r="R189" s="165">
        <f t="shared" ref="R189:R196" si="54">N189+Q189</f>
        <v>0</v>
      </c>
      <c r="S189" s="17" t="s">
        <v>262</v>
      </c>
      <c r="T189" s="17"/>
      <c r="U189" s="104"/>
      <c r="W189" s="154"/>
      <c r="X189" s="119">
        <v>14</v>
      </c>
      <c r="Y189" s="111"/>
      <c r="Z189" s="118">
        <v>1</v>
      </c>
      <c r="AA189" s="111"/>
      <c r="AB189" s="117" t="str">
        <f>VLOOKUP(O189,{"甲级","1.2";"乙级","1.0";"丙级","0.8";"试验","0.1"},2,0)</f>
        <v>0.1</v>
      </c>
      <c r="AC189" s="111"/>
      <c r="AD189" s="130">
        <f t="shared" si="40"/>
        <v>-14</v>
      </c>
      <c r="AE189" s="130">
        <f t="shared" si="41"/>
        <v>-1</v>
      </c>
      <c r="AF189" s="130">
        <f t="shared" si="42"/>
        <v>-0.1</v>
      </c>
      <c r="AG189" s="131"/>
      <c r="AH189" s="131"/>
      <c r="AI189" s="131"/>
      <c r="AJ189" s="131"/>
      <c r="AK189" s="131"/>
      <c r="AL189" s="131"/>
      <c r="AM189" s="131"/>
      <c r="AN189" s="131"/>
      <c r="AO189" s="131"/>
    </row>
    <row r="190" spans="1:41" s="47" customFormat="1" ht="14.4" x14ac:dyDescent="0.25">
      <c r="A190" s="14">
        <v>186</v>
      </c>
      <c r="B190" s="209"/>
      <c r="C190" s="209"/>
      <c r="D190" s="210"/>
      <c r="E190" s="14" t="s">
        <v>301</v>
      </c>
      <c r="F190" s="14"/>
      <c r="G190" s="17" t="s">
        <v>152</v>
      </c>
      <c r="H190" s="162"/>
      <c r="I190" s="17"/>
      <c r="J190" s="17"/>
      <c r="K190" s="17"/>
      <c r="L190" s="17"/>
      <c r="M190" s="163"/>
      <c r="N190" s="165">
        <f t="shared" si="52"/>
        <v>0</v>
      </c>
      <c r="O190" s="14" t="s">
        <v>261</v>
      </c>
      <c r="P190" s="38"/>
      <c r="Q190" s="165">
        <f t="shared" si="53"/>
        <v>0</v>
      </c>
      <c r="R190" s="165">
        <f t="shared" si="54"/>
        <v>0</v>
      </c>
      <c r="S190" s="17" t="s">
        <v>262</v>
      </c>
      <c r="T190" s="17"/>
      <c r="U190" s="104"/>
      <c r="W190" s="154"/>
      <c r="X190" s="119">
        <v>27</v>
      </c>
      <c r="Y190" s="111"/>
      <c r="Z190" s="118">
        <v>1</v>
      </c>
      <c r="AA190" s="111"/>
      <c r="AB190" s="117" t="str">
        <f>VLOOKUP(O190,{"甲级","1.2";"乙级","1.0";"丙级","0.8";"试验","0.1"},2,0)</f>
        <v>0.1</v>
      </c>
      <c r="AC190" s="111"/>
      <c r="AD190" s="130">
        <f t="shared" si="40"/>
        <v>-27</v>
      </c>
      <c r="AE190" s="130">
        <f t="shared" si="41"/>
        <v>-1</v>
      </c>
      <c r="AF190" s="130">
        <f t="shared" si="42"/>
        <v>-0.1</v>
      </c>
      <c r="AG190" s="131"/>
      <c r="AH190" s="131"/>
      <c r="AI190" s="131"/>
      <c r="AJ190" s="131"/>
      <c r="AK190" s="131"/>
      <c r="AL190" s="131"/>
      <c r="AM190" s="131"/>
      <c r="AN190" s="131"/>
      <c r="AO190" s="131"/>
    </row>
    <row r="191" spans="1:41" s="47" customFormat="1" ht="14.4" x14ac:dyDescent="0.25">
      <c r="A191" s="14">
        <v>187</v>
      </c>
      <c r="B191" s="209"/>
      <c r="C191" s="209"/>
      <c r="D191" s="210"/>
      <c r="E191" s="14" t="s">
        <v>302</v>
      </c>
      <c r="F191" s="14"/>
      <c r="G191" s="17" t="s">
        <v>152</v>
      </c>
      <c r="H191" s="162"/>
      <c r="I191" s="17"/>
      <c r="J191" s="17"/>
      <c r="K191" s="17"/>
      <c r="L191" s="17"/>
      <c r="M191" s="163"/>
      <c r="N191" s="165">
        <f t="shared" si="52"/>
        <v>0</v>
      </c>
      <c r="O191" s="14" t="s">
        <v>261</v>
      </c>
      <c r="P191" s="38"/>
      <c r="Q191" s="165">
        <f t="shared" si="53"/>
        <v>0</v>
      </c>
      <c r="R191" s="165">
        <f t="shared" si="54"/>
        <v>0</v>
      </c>
      <c r="S191" s="17" t="s">
        <v>262</v>
      </c>
      <c r="T191" s="17"/>
      <c r="U191" s="104"/>
      <c r="W191" s="154"/>
      <c r="X191" s="119">
        <v>36</v>
      </c>
      <c r="Y191" s="111"/>
      <c r="Z191" s="118">
        <v>1</v>
      </c>
      <c r="AA191" s="111"/>
      <c r="AB191" s="117" t="str">
        <f>VLOOKUP(O191,{"甲级","1.2";"乙级","1.0";"丙级","0.8";"试验","0.1"},2,0)</f>
        <v>0.1</v>
      </c>
      <c r="AC191" s="111"/>
      <c r="AD191" s="130">
        <f t="shared" si="40"/>
        <v>-36</v>
      </c>
      <c r="AE191" s="130">
        <f t="shared" si="41"/>
        <v>-1</v>
      </c>
      <c r="AF191" s="130">
        <f t="shared" si="42"/>
        <v>-0.1</v>
      </c>
      <c r="AG191" s="131"/>
      <c r="AH191" s="131"/>
      <c r="AI191" s="131"/>
      <c r="AJ191" s="131"/>
      <c r="AK191" s="131"/>
      <c r="AL191" s="131"/>
      <c r="AM191" s="131"/>
      <c r="AN191" s="131"/>
      <c r="AO191" s="131"/>
    </row>
    <row r="192" spans="1:41" s="47" customFormat="1" ht="14.4" x14ac:dyDescent="0.25">
      <c r="A192" s="14">
        <v>188</v>
      </c>
      <c r="B192" s="209"/>
      <c r="C192" s="209"/>
      <c r="D192" s="210"/>
      <c r="E192" s="14" t="s">
        <v>303</v>
      </c>
      <c r="F192" s="14"/>
      <c r="G192" s="17" t="s">
        <v>152</v>
      </c>
      <c r="H192" s="162"/>
      <c r="I192" s="17"/>
      <c r="J192" s="17"/>
      <c r="K192" s="17"/>
      <c r="L192" s="17"/>
      <c r="M192" s="163"/>
      <c r="N192" s="165">
        <f t="shared" si="52"/>
        <v>0</v>
      </c>
      <c r="O192" s="14" t="s">
        <v>261</v>
      </c>
      <c r="P192" s="38"/>
      <c r="Q192" s="165">
        <f t="shared" si="53"/>
        <v>0</v>
      </c>
      <c r="R192" s="165">
        <f t="shared" si="54"/>
        <v>0</v>
      </c>
      <c r="S192" s="17" t="s">
        <v>262</v>
      </c>
      <c r="T192" s="17"/>
      <c r="U192" s="104"/>
      <c r="W192" s="154"/>
      <c r="X192" s="119">
        <v>56</v>
      </c>
      <c r="Y192" s="111"/>
      <c r="Z192" s="118">
        <v>1</v>
      </c>
      <c r="AA192" s="111"/>
      <c r="AB192" s="117" t="str">
        <f>VLOOKUP(O192,{"甲级","1.2";"乙级","1.0";"丙级","0.8";"试验","0.1"},2,0)</f>
        <v>0.1</v>
      </c>
      <c r="AC192" s="111"/>
      <c r="AD192" s="130">
        <f t="shared" si="40"/>
        <v>-56</v>
      </c>
      <c r="AE192" s="130">
        <f t="shared" si="41"/>
        <v>-1</v>
      </c>
      <c r="AF192" s="130">
        <f t="shared" si="42"/>
        <v>-0.1</v>
      </c>
      <c r="AG192" s="131"/>
      <c r="AH192" s="131"/>
      <c r="AI192" s="131"/>
      <c r="AJ192" s="131"/>
      <c r="AK192" s="131"/>
      <c r="AL192" s="131"/>
      <c r="AM192" s="131"/>
      <c r="AN192" s="131"/>
      <c r="AO192" s="131"/>
    </row>
    <row r="193" spans="1:41" s="47" customFormat="1" ht="14.4" x14ac:dyDescent="0.25">
      <c r="A193" s="14">
        <v>189</v>
      </c>
      <c r="B193" s="209"/>
      <c r="C193" s="209"/>
      <c r="D193" s="208" t="s">
        <v>530</v>
      </c>
      <c r="E193" s="208"/>
      <c r="F193" s="14"/>
      <c r="G193" s="17" t="s">
        <v>152</v>
      </c>
      <c r="H193" s="162"/>
      <c r="I193" s="17">
        <v>40</v>
      </c>
      <c r="J193" s="17"/>
      <c r="K193" s="17"/>
      <c r="L193" s="17"/>
      <c r="M193" s="163"/>
      <c r="N193" s="165">
        <f t="shared" si="52"/>
        <v>0</v>
      </c>
      <c r="O193" s="14" t="s">
        <v>261</v>
      </c>
      <c r="P193" s="38"/>
      <c r="Q193" s="165">
        <f t="shared" si="53"/>
        <v>0</v>
      </c>
      <c r="R193" s="165">
        <f t="shared" si="54"/>
        <v>0</v>
      </c>
      <c r="S193" s="17" t="s">
        <v>304</v>
      </c>
      <c r="T193" s="17"/>
      <c r="U193" s="104"/>
      <c r="W193" s="154"/>
      <c r="X193" s="119">
        <v>26</v>
      </c>
      <c r="Y193" s="111"/>
      <c r="Z193" s="118">
        <v>1</v>
      </c>
      <c r="AA193" s="111"/>
      <c r="AB193" s="117" t="str">
        <f>VLOOKUP(O193,{"甲级","1.2";"乙级","1.0";"丙级","0.8";"试验","0.1"},2,0)</f>
        <v>0.1</v>
      </c>
      <c r="AC193" s="111"/>
      <c r="AD193" s="130">
        <f t="shared" si="40"/>
        <v>-26</v>
      </c>
      <c r="AE193" s="130">
        <f t="shared" si="41"/>
        <v>-1</v>
      </c>
      <c r="AF193" s="130">
        <f t="shared" si="42"/>
        <v>-0.1</v>
      </c>
      <c r="AG193" s="131"/>
      <c r="AH193" s="131"/>
      <c r="AI193" s="131"/>
      <c r="AJ193" s="131"/>
      <c r="AK193" s="131"/>
      <c r="AL193" s="131"/>
      <c r="AM193" s="131"/>
      <c r="AN193" s="131"/>
      <c r="AO193" s="131"/>
    </row>
    <row r="194" spans="1:41" s="47" customFormat="1" ht="14.4" x14ac:dyDescent="0.25">
      <c r="A194" s="14">
        <v>190</v>
      </c>
      <c r="B194" s="209"/>
      <c r="C194" s="209"/>
      <c r="D194" s="208" t="s">
        <v>532</v>
      </c>
      <c r="E194" s="208"/>
      <c r="F194" s="14"/>
      <c r="G194" s="17" t="s">
        <v>152</v>
      </c>
      <c r="H194" s="162"/>
      <c r="I194" s="17"/>
      <c r="J194" s="17"/>
      <c r="K194" s="17"/>
      <c r="L194" s="17"/>
      <c r="M194" s="163"/>
      <c r="N194" s="165">
        <f t="shared" si="52"/>
        <v>0</v>
      </c>
      <c r="O194" s="14" t="s">
        <v>261</v>
      </c>
      <c r="P194" s="38"/>
      <c r="Q194" s="165">
        <f t="shared" si="53"/>
        <v>0</v>
      </c>
      <c r="R194" s="165">
        <f t="shared" si="54"/>
        <v>0</v>
      </c>
      <c r="S194" s="17" t="s">
        <v>434</v>
      </c>
      <c r="T194" s="17"/>
      <c r="U194" s="104"/>
      <c r="W194" s="154"/>
      <c r="X194" s="119">
        <v>220</v>
      </c>
      <c r="Y194" s="111"/>
      <c r="Z194" s="118">
        <v>1</v>
      </c>
      <c r="AA194" s="111"/>
      <c r="AB194" s="117" t="str">
        <f>VLOOKUP(O194,{"甲级","1.2";"乙级","1.0";"丙级","0.8";"试验","0.1"},2,0)</f>
        <v>0.1</v>
      </c>
      <c r="AC194" s="111"/>
      <c r="AD194" s="130">
        <f t="shared" si="40"/>
        <v>-220</v>
      </c>
      <c r="AE194" s="130">
        <f t="shared" si="41"/>
        <v>-1</v>
      </c>
      <c r="AF194" s="130">
        <f t="shared" si="42"/>
        <v>-0.1</v>
      </c>
      <c r="AG194" s="131"/>
      <c r="AH194" s="131"/>
      <c r="AI194" s="131"/>
      <c r="AJ194" s="131"/>
      <c r="AK194" s="131"/>
      <c r="AL194" s="131"/>
      <c r="AM194" s="131"/>
      <c r="AN194" s="131"/>
      <c r="AO194" s="131"/>
    </row>
    <row r="195" spans="1:41" s="47" customFormat="1" ht="14.4" x14ac:dyDescent="0.25">
      <c r="A195" s="14">
        <v>191</v>
      </c>
      <c r="B195" s="209"/>
      <c r="C195" s="209"/>
      <c r="D195" s="208" t="s">
        <v>305</v>
      </c>
      <c r="E195" s="208"/>
      <c r="F195" s="14"/>
      <c r="G195" s="17" t="s">
        <v>152</v>
      </c>
      <c r="H195" s="162"/>
      <c r="I195" s="17">
        <v>7</v>
      </c>
      <c r="J195" s="17"/>
      <c r="K195" s="17"/>
      <c r="L195" s="17"/>
      <c r="M195" s="163"/>
      <c r="N195" s="165">
        <f t="shared" si="52"/>
        <v>0</v>
      </c>
      <c r="O195" s="14" t="s">
        <v>261</v>
      </c>
      <c r="P195" s="38"/>
      <c r="Q195" s="165">
        <f t="shared" si="53"/>
        <v>0</v>
      </c>
      <c r="R195" s="165">
        <f t="shared" si="54"/>
        <v>0</v>
      </c>
      <c r="S195" s="17" t="s">
        <v>304</v>
      </c>
      <c r="T195" s="17"/>
      <c r="U195" s="104"/>
      <c r="W195" s="154"/>
      <c r="X195" s="119">
        <v>220</v>
      </c>
      <c r="Y195" s="111"/>
      <c r="Z195" s="118">
        <v>1</v>
      </c>
      <c r="AA195" s="111"/>
      <c r="AB195" s="117" t="str">
        <f>VLOOKUP(O195,{"甲级","1.2";"乙级","1.0";"丙级","0.8";"试验","0.1"},2,0)</f>
        <v>0.1</v>
      </c>
      <c r="AC195" s="111"/>
      <c r="AD195" s="130">
        <f t="shared" si="40"/>
        <v>-220</v>
      </c>
      <c r="AE195" s="130">
        <f t="shared" si="41"/>
        <v>-1</v>
      </c>
      <c r="AF195" s="130">
        <f t="shared" si="42"/>
        <v>-0.1</v>
      </c>
      <c r="AG195" s="131"/>
      <c r="AH195" s="131"/>
      <c r="AI195" s="131"/>
      <c r="AJ195" s="131"/>
      <c r="AK195" s="131"/>
      <c r="AL195" s="131"/>
      <c r="AM195" s="131"/>
      <c r="AN195" s="131"/>
      <c r="AO195" s="131"/>
    </row>
    <row r="196" spans="1:41" s="47" customFormat="1" ht="14.4" x14ac:dyDescent="0.25">
      <c r="A196" s="14">
        <v>192</v>
      </c>
      <c r="B196" s="209"/>
      <c r="C196" s="11"/>
      <c r="D196" s="158"/>
      <c r="E196" s="158"/>
      <c r="F196" s="14"/>
      <c r="G196" s="17" t="s">
        <v>306</v>
      </c>
      <c r="H196" s="162"/>
      <c r="I196" s="17"/>
      <c r="J196" s="17"/>
      <c r="K196" s="17"/>
      <c r="L196" s="17"/>
      <c r="M196" s="163"/>
      <c r="N196" s="165">
        <f t="shared" si="52"/>
        <v>0</v>
      </c>
      <c r="O196" s="14" t="s">
        <v>261</v>
      </c>
      <c r="P196" s="38"/>
      <c r="Q196" s="165">
        <f t="shared" si="53"/>
        <v>0</v>
      </c>
      <c r="R196" s="165">
        <f t="shared" si="54"/>
        <v>0</v>
      </c>
      <c r="S196" s="17"/>
      <c r="T196" s="17" t="s">
        <v>477</v>
      </c>
      <c r="U196" s="104"/>
      <c r="W196" s="154"/>
      <c r="X196" s="119">
        <v>30000</v>
      </c>
      <c r="Y196" s="111"/>
      <c r="Z196" s="118">
        <v>1</v>
      </c>
      <c r="AA196" s="111"/>
      <c r="AB196" s="117" t="str">
        <f>VLOOKUP(O196,{"甲级","1.2";"乙级","1.0";"丙级","0.8";"试验","0.1"},2,0)</f>
        <v>0.1</v>
      </c>
      <c r="AC196" s="111"/>
      <c r="AD196" s="130">
        <f t="shared" si="40"/>
        <v>-30000</v>
      </c>
      <c r="AE196" s="130">
        <f t="shared" si="41"/>
        <v>-1</v>
      </c>
      <c r="AF196" s="130">
        <f t="shared" si="42"/>
        <v>-0.1</v>
      </c>
      <c r="AG196" s="131"/>
      <c r="AH196" s="131"/>
      <c r="AI196" s="131"/>
      <c r="AJ196" s="131"/>
      <c r="AK196" s="131"/>
      <c r="AL196" s="131"/>
      <c r="AM196" s="131"/>
      <c r="AN196" s="131"/>
      <c r="AO196" s="131"/>
    </row>
    <row r="197" spans="1:41" s="47" customFormat="1" ht="24" x14ac:dyDescent="0.25">
      <c r="A197" s="14">
        <v>193</v>
      </c>
      <c r="B197" s="209"/>
      <c r="C197" s="209" t="s">
        <v>307</v>
      </c>
      <c r="D197" s="14" t="s">
        <v>308</v>
      </c>
      <c r="E197" s="14" t="s">
        <v>309</v>
      </c>
      <c r="F197" s="14"/>
      <c r="G197" s="17" t="s">
        <v>310</v>
      </c>
      <c r="H197" s="162"/>
      <c r="I197" s="17">
        <v>202</v>
      </c>
      <c r="J197" s="17"/>
      <c r="K197" s="17"/>
      <c r="L197" s="17"/>
      <c r="M197" s="163"/>
      <c r="N197" s="165">
        <f t="shared" ref="N197:N208" si="55">H197*I197*M197</f>
        <v>0</v>
      </c>
      <c r="O197" s="14" t="s">
        <v>261</v>
      </c>
      <c r="P197" s="38"/>
      <c r="Q197" s="165">
        <f t="shared" ref="Q197:Q208" si="56">N197*P197</f>
        <v>0</v>
      </c>
      <c r="R197" s="165">
        <f t="shared" ref="R197:R208" si="57">N197+Q197</f>
        <v>0</v>
      </c>
      <c r="S197" s="17" t="s">
        <v>311</v>
      </c>
      <c r="T197" s="17"/>
      <c r="U197" s="104"/>
      <c r="W197" s="154"/>
      <c r="X197" s="119">
        <v>19</v>
      </c>
      <c r="Y197" s="111"/>
      <c r="Z197" s="118">
        <v>1</v>
      </c>
      <c r="AA197" s="111"/>
      <c r="AB197" s="117" t="str">
        <f>VLOOKUP(O197,{"甲级","1.2";"乙级","1.0";"丙级","0.8";"试验","0.1"},2,0)</f>
        <v>0.1</v>
      </c>
      <c r="AC197" s="111"/>
      <c r="AD197" s="130">
        <f t="shared" si="40"/>
        <v>-19</v>
      </c>
      <c r="AE197" s="130">
        <f t="shared" si="41"/>
        <v>-1</v>
      </c>
      <c r="AF197" s="130">
        <f t="shared" si="42"/>
        <v>-0.1</v>
      </c>
      <c r="AG197" s="131"/>
      <c r="AH197" s="131"/>
      <c r="AI197" s="131"/>
      <c r="AJ197" s="131"/>
      <c r="AK197" s="131"/>
      <c r="AL197" s="131"/>
      <c r="AM197" s="131"/>
      <c r="AN197" s="131"/>
      <c r="AO197" s="131"/>
    </row>
    <row r="198" spans="1:41" s="47" customFormat="1" ht="14.4" x14ac:dyDescent="0.25">
      <c r="A198" s="14">
        <v>194</v>
      </c>
      <c r="B198" s="209"/>
      <c r="C198" s="209"/>
      <c r="D198" s="14" t="s">
        <v>260</v>
      </c>
      <c r="E198" s="14"/>
      <c r="F198" s="14"/>
      <c r="G198" s="17" t="s">
        <v>152</v>
      </c>
      <c r="H198" s="162"/>
      <c r="I198" s="17"/>
      <c r="J198" s="17"/>
      <c r="K198" s="17"/>
      <c r="L198" s="17"/>
      <c r="M198" s="163"/>
      <c r="N198" s="165">
        <f t="shared" si="55"/>
        <v>0</v>
      </c>
      <c r="O198" s="14" t="s">
        <v>261</v>
      </c>
      <c r="P198" s="38"/>
      <c r="Q198" s="165">
        <f t="shared" si="56"/>
        <v>0</v>
      </c>
      <c r="R198" s="165">
        <f t="shared" si="57"/>
        <v>0</v>
      </c>
      <c r="S198" s="17" t="s">
        <v>311</v>
      </c>
      <c r="T198" s="17"/>
      <c r="U198" s="104"/>
      <c r="W198" s="154"/>
      <c r="X198" s="119">
        <v>14</v>
      </c>
      <c r="Y198" s="111"/>
      <c r="Z198" s="118">
        <v>1</v>
      </c>
      <c r="AA198" s="111"/>
      <c r="AB198" s="117" t="str">
        <f>VLOOKUP(O198,{"甲级","1.2";"乙级","1.0";"丙级","0.8";"试验","0.1"},2,0)</f>
        <v>0.1</v>
      </c>
      <c r="AC198" s="111"/>
      <c r="AD198" s="130">
        <f t="shared" ref="AD198:AD208" si="58">H198+AG198-X198</f>
        <v>-14</v>
      </c>
      <c r="AE198" s="130">
        <f t="shared" ref="AE198:AE208" si="59">M198+AH198-Z198</f>
        <v>-1</v>
      </c>
      <c r="AF198" s="130">
        <f t="shared" ref="AF198:AF208" si="60">P198+AI198-AB198</f>
        <v>-0.1</v>
      </c>
      <c r="AG198" s="131"/>
      <c r="AH198" s="131"/>
      <c r="AI198" s="131"/>
      <c r="AJ198" s="131"/>
      <c r="AK198" s="131"/>
      <c r="AL198" s="131"/>
      <c r="AM198" s="131"/>
      <c r="AN198" s="131"/>
      <c r="AO198" s="131"/>
    </row>
    <row r="199" spans="1:41" s="47" customFormat="1" ht="14.4" x14ac:dyDescent="0.25">
      <c r="A199" s="14">
        <v>195</v>
      </c>
      <c r="B199" s="209"/>
      <c r="C199" s="209"/>
      <c r="D199" s="14" t="s">
        <v>312</v>
      </c>
      <c r="E199" s="14" t="s">
        <v>313</v>
      </c>
      <c r="F199" s="14"/>
      <c r="G199" s="17" t="s">
        <v>152</v>
      </c>
      <c r="H199" s="162"/>
      <c r="I199" s="17">
        <v>202</v>
      </c>
      <c r="J199" s="17"/>
      <c r="K199" s="17"/>
      <c r="L199" s="17"/>
      <c r="M199" s="163"/>
      <c r="N199" s="165">
        <f t="shared" si="55"/>
        <v>0</v>
      </c>
      <c r="O199" s="14" t="s">
        <v>261</v>
      </c>
      <c r="P199" s="38"/>
      <c r="Q199" s="165">
        <f t="shared" si="56"/>
        <v>0</v>
      </c>
      <c r="R199" s="165">
        <f t="shared" si="57"/>
        <v>0</v>
      </c>
      <c r="S199" s="17" t="s">
        <v>311</v>
      </c>
      <c r="T199" s="17"/>
      <c r="U199" s="104"/>
      <c r="W199" s="154"/>
      <c r="X199" s="119">
        <v>18</v>
      </c>
      <c r="Y199" s="111"/>
      <c r="Z199" s="118">
        <v>1</v>
      </c>
      <c r="AA199" s="111"/>
      <c r="AB199" s="117" t="str">
        <f>VLOOKUP(O199,{"甲级","1.2";"乙级","1.0";"丙级","0.8";"试验","0.1"},2,0)</f>
        <v>0.1</v>
      </c>
      <c r="AC199" s="111"/>
      <c r="AD199" s="130">
        <f t="shared" si="58"/>
        <v>-18</v>
      </c>
      <c r="AE199" s="130">
        <f t="shared" si="59"/>
        <v>-1</v>
      </c>
      <c r="AF199" s="130">
        <f t="shared" si="60"/>
        <v>-0.1</v>
      </c>
      <c r="AG199" s="131"/>
      <c r="AH199" s="131"/>
      <c r="AI199" s="131"/>
      <c r="AJ199" s="131"/>
      <c r="AK199" s="131"/>
      <c r="AL199" s="131"/>
      <c r="AM199" s="131"/>
      <c r="AN199" s="131"/>
      <c r="AO199" s="131"/>
    </row>
    <row r="200" spans="1:41" s="47" customFormat="1" ht="14.4" x14ac:dyDescent="0.25">
      <c r="A200" s="14">
        <v>196</v>
      </c>
      <c r="B200" s="209"/>
      <c r="C200" s="209"/>
      <c r="D200" s="208" t="s">
        <v>531</v>
      </c>
      <c r="E200" s="89" t="s">
        <v>314</v>
      </c>
      <c r="F200" s="14" t="s">
        <v>315</v>
      </c>
      <c r="G200" s="17" t="s">
        <v>284</v>
      </c>
      <c r="H200" s="162"/>
      <c r="I200" s="17">
        <v>202</v>
      </c>
      <c r="J200" s="17"/>
      <c r="K200" s="17"/>
      <c r="L200" s="17"/>
      <c r="M200" s="163"/>
      <c r="N200" s="165">
        <f t="shared" si="55"/>
        <v>0</v>
      </c>
      <c r="O200" s="14" t="s">
        <v>261</v>
      </c>
      <c r="P200" s="38"/>
      <c r="Q200" s="165">
        <f t="shared" si="56"/>
        <v>0</v>
      </c>
      <c r="R200" s="165">
        <f t="shared" si="57"/>
        <v>0</v>
      </c>
      <c r="S200" s="17" t="s">
        <v>311</v>
      </c>
      <c r="T200" s="17"/>
      <c r="U200" s="104"/>
      <c r="W200" s="154"/>
      <c r="X200" s="119">
        <v>47</v>
      </c>
      <c r="Y200" s="111"/>
      <c r="Z200" s="118">
        <v>1</v>
      </c>
      <c r="AA200" s="111"/>
      <c r="AB200" s="117" t="str">
        <f>VLOOKUP(O200,{"甲级","1.2";"乙级","1.0";"丙级","0.8";"试验","0.1"},2,0)</f>
        <v>0.1</v>
      </c>
      <c r="AC200" s="111"/>
      <c r="AD200" s="130">
        <f t="shared" si="58"/>
        <v>-47</v>
      </c>
      <c r="AE200" s="130">
        <f t="shared" si="59"/>
        <v>-1</v>
      </c>
      <c r="AF200" s="130">
        <f t="shared" si="60"/>
        <v>-0.1</v>
      </c>
      <c r="AG200" s="131"/>
      <c r="AH200" s="131"/>
      <c r="AI200" s="131"/>
      <c r="AJ200" s="131"/>
      <c r="AK200" s="131"/>
      <c r="AL200" s="131"/>
      <c r="AM200" s="131"/>
      <c r="AN200" s="131"/>
      <c r="AO200" s="131"/>
    </row>
    <row r="201" spans="1:41" s="47" customFormat="1" ht="14.4" x14ac:dyDescent="0.25">
      <c r="A201" s="14">
        <v>197</v>
      </c>
      <c r="B201" s="209"/>
      <c r="C201" s="209"/>
      <c r="D201" s="208"/>
      <c r="E201" s="89" t="s">
        <v>316</v>
      </c>
      <c r="F201" s="14" t="s">
        <v>315</v>
      </c>
      <c r="G201" s="17" t="s">
        <v>284</v>
      </c>
      <c r="H201" s="162"/>
      <c r="I201" s="17">
        <v>202</v>
      </c>
      <c r="J201" s="17"/>
      <c r="K201" s="17"/>
      <c r="L201" s="17"/>
      <c r="M201" s="163"/>
      <c r="N201" s="165">
        <f t="shared" si="55"/>
        <v>0</v>
      </c>
      <c r="O201" s="14" t="s">
        <v>261</v>
      </c>
      <c r="P201" s="38"/>
      <c r="Q201" s="165">
        <f t="shared" si="56"/>
        <v>0</v>
      </c>
      <c r="R201" s="165">
        <f t="shared" si="57"/>
        <v>0</v>
      </c>
      <c r="S201" s="17" t="s">
        <v>311</v>
      </c>
      <c r="T201" s="17"/>
      <c r="U201" s="104"/>
      <c r="W201" s="154"/>
      <c r="X201" s="119">
        <v>70</v>
      </c>
      <c r="Y201" s="111"/>
      <c r="Z201" s="118">
        <v>1</v>
      </c>
      <c r="AA201" s="111"/>
      <c r="AB201" s="117" t="str">
        <f>VLOOKUP(O201,{"甲级","1.2";"乙级","1.0";"丙级","0.8";"试验","0.1"},2,0)</f>
        <v>0.1</v>
      </c>
      <c r="AC201" s="111"/>
      <c r="AD201" s="130">
        <f t="shared" si="58"/>
        <v>-70</v>
      </c>
      <c r="AE201" s="130">
        <f t="shared" si="59"/>
        <v>-1</v>
      </c>
      <c r="AF201" s="130">
        <f t="shared" si="60"/>
        <v>-0.1</v>
      </c>
      <c r="AG201" s="131"/>
      <c r="AH201" s="131"/>
      <c r="AI201" s="131"/>
      <c r="AJ201" s="131"/>
      <c r="AK201" s="131"/>
      <c r="AL201" s="131"/>
      <c r="AM201" s="131"/>
      <c r="AN201" s="131"/>
      <c r="AO201" s="131"/>
    </row>
    <row r="202" spans="1:41" s="47" customFormat="1" ht="14.4" x14ac:dyDescent="0.25">
      <c r="A202" s="14">
        <v>198</v>
      </c>
      <c r="B202" s="209"/>
      <c r="C202" s="209"/>
      <c r="D202" s="208" t="s">
        <v>317</v>
      </c>
      <c r="E202" s="89" t="s">
        <v>318</v>
      </c>
      <c r="F202" s="14" t="s">
        <v>315</v>
      </c>
      <c r="G202" s="17" t="s">
        <v>284</v>
      </c>
      <c r="H202" s="162"/>
      <c r="I202" s="17"/>
      <c r="J202" s="17"/>
      <c r="K202" s="17"/>
      <c r="L202" s="17"/>
      <c r="M202" s="163"/>
      <c r="N202" s="165">
        <f t="shared" si="55"/>
        <v>0</v>
      </c>
      <c r="O202" s="14" t="s">
        <v>261</v>
      </c>
      <c r="P202" s="38"/>
      <c r="Q202" s="165">
        <f t="shared" si="56"/>
        <v>0</v>
      </c>
      <c r="R202" s="165">
        <f t="shared" si="57"/>
        <v>0</v>
      </c>
      <c r="S202" s="17" t="s">
        <v>311</v>
      </c>
      <c r="T202" s="17"/>
      <c r="U202" s="104"/>
      <c r="W202" s="154"/>
      <c r="X202" s="119">
        <v>185</v>
      </c>
      <c r="Y202" s="111"/>
      <c r="Z202" s="118">
        <v>1</v>
      </c>
      <c r="AA202" s="111"/>
      <c r="AB202" s="117" t="str">
        <f>VLOOKUP(O202,{"甲级","1.2";"乙级","1.0";"丙级","0.8";"试验","0.1"},2,0)</f>
        <v>0.1</v>
      </c>
      <c r="AC202" s="111"/>
      <c r="AD202" s="130">
        <f t="shared" si="58"/>
        <v>-185</v>
      </c>
      <c r="AE202" s="130">
        <f t="shared" si="59"/>
        <v>-1</v>
      </c>
      <c r="AF202" s="130">
        <f t="shared" si="60"/>
        <v>-0.1</v>
      </c>
      <c r="AG202" s="131"/>
      <c r="AH202" s="131"/>
      <c r="AI202" s="131"/>
      <c r="AJ202" s="131"/>
      <c r="AK202" s="131"/>
      <c r="AL202" s="131"/>
      <c r="AM202" s="131"/>
      <c r="AN202" s="131"/>
      <c r="AO202" s="131"/>
    </row>
    <row r="203" spans="1:41" s="47" customFormat="1" ht="14.4" x14ac:dyDescent="0.25">
      <c r="A203" s="14">
        <v>199</v>
      </c>
      <c r="B203" s="209"/>
      <c r="C203" s="209"/>
      <c r="D203" s="208"/>
      <c r="E203" s="89" t="s">
        <v>316</v>
      </c>
      <c r="F203" s="14" t="s">
        <v>315</v>
      </c>
      <c r="G203" s="17" t="s">
        <v>284</v>
      </c>
      <c r="H203" s="162"/>
      <c r="I203" s="17"/>
      <c r="J203" s="17"/>
      <c r="K203" s="17"/>
      <c r="L203" s="17"/>
      <c r="M203" s="163"/>
      <c r="N203" s="165">
        <f t="shared" si="55"/>
        <v>0</v>
      </c>
      <c r="O203" s="14" t="s">
        <v>261</v>
      </c>
      <c r="P203" s="38"/>
      <c r="Q203" s="165">
        <f t="shared" si="56"/>
        <v>0</v>
      </c>
      <c r="R203" s="165">
        <f t="shared" si="57"/>
        <v>0</v>
      </c>
      <c r="S203" s="17" t="s">
        <v>311</v>
      </c>
      <c r="T203" s="17"/>
      <c r="U203" s="104"/>
      <c r="W203" s="154"/>
      <c r="X203" s="119">
        <v>233</v>
      </c>
      <c r="Y203" s="111"/>
      <c r="Z203" s="118">
        <v>1</v>
      </c>
      <c r="AA203" s="111"/>
      <c r="AB203" s="117" t="str">
        <f>VLOOKUP(O203,{"甲级","1.2";"乙级","1.0";"丙级","0.8";"试验","0.1"},2,0)</f>
        <v>0.1</v>
      </c>
      <c r="AC203" s="111"/>
      <c r="AD203" s="130">
        <f t="shared" si="58"/>
        <v>-233</v>
      </c>
      <c r="AE203" s="130">
        <f t="shared" si="59"/>
        <v>-1</v>
      </c>
      <c r="AF203" s="130">
        <f t="shared" si="60"/>
        <v>-0.1</v>
      </c>
      <c r="AG203" s="131"/>
      <c r="AH203" s="131"/>
      <c r="AI203" s="131"/>
      <c r="AJ203" s="131"/>
      <c r="AK203" s="131"/>
      <c r="AL203" s="131"/>
      <c r="AM203" s="131"/>
      <c r="AN203" s="131"/>
      <c r="AO203" s="131"/>
    </row>
    <row r="204" spans="1:41" s="47" customFormat="1" ht="14.4" x14ac:dyDescent="0.25">
      <c r="A204" s="14">
        <v>200</v>
      </c>
      <c r="B204" s="209"/>
      <c r="C204" s="209"/>
      <c r="D204" s="14" t="s">
        <v>319</v>
      </c>
      <c r="E204" s="14"/>
      <c r="F204" s="14"/>
      <c r="G204" s="17" t="s">
        <v>284</v>
      </c>
      <c r="H204" s="162"/>
      <c r="I204" s="17"/>
      <c r="J204" s="17"/>
      <c r="K204" s="17"/>
      <c r="L204" s="17"/>
      <c r="M204" s="163"/>
      <c r="N204" s="165">
        <f t="shared" si="55"/>
        <v>0</v>
      </c>
      <c r="O204" s="14" t="s">
        <v>261</v>
      </c>
      <c r="P204" s="38"/>
      <c r="Q204" s="165">
        <f t="shared" si="56"/>
        <v>0</v>
      </c>
      <c r="R204" s="165">
        <f t="shared" si="57"/>
        <v>0</v>
      </c>
      <c r="S204" s="17" t="s">
        <v>435</v>
      </c>
      <c r="T204" s="17"/>
      <c r="U204" s="104"/>
      <c r="W204" s="154"/>
      <c r="X204" s="119">
        <v>93</v>
      </c>
      <c r="Y204" s="111"/>
      <c r="Z204" s="118">
        <v>1</v>
      </c>
      <c r="AA204" s="111"/>
      <c r="AB204" s="117" t="str">
        <f>VLOOKUP(O204,{"甲级","1.2";"乙级","1.0";"丙级","0.8";"试验","0.1"},2,0)</f>
        <v>0.1</v>
      </c>
      <c r="AC204" s="111"/>
      <c r="AD204" s="130">
        <f t="shared" si="58"/>
        <v>-93</v>
      </c>
      <c r="AE204" s="130">
        <f t="shared" si="59"/>
        <v>-1</v>
      </c>
      <c r="AF204" s="130">
        <f t="shared" si="60"/>
        <v>-0.1</v>
      </c>
      <c r="AG204" s="131"/>
      <c r="AH204" s="131"/>
      <c r="AI204" s="131"/>
      <c r="AJ204" s="131"/>
      <c r="AK204" s="131"/>
      <c r="AL204" s="131"/>
      <c r="AM204" s="131"/>
      <c r="AN204" s="131"/>
      <c r="AO204" s="131"/>
    </row>
    <row r="205" spans="1:41" s="47" customFormat="1" ht="14.4" x14ac:dyDescent="0.25">
      <c r="A205" s="14">
        <v>201</v>
      </c>
      <c r="B205" s="209"/>
      <c r="C205" s="209"/>
      <c r="D205" s="208" t="s">
        <v>320</v>
      </c>
      <c r="E205" s="14" t="s">
        <v>321</v>
      </c>
      <c r="F205" s="14" t="s">
        <v>322</v>
      </c>
      <c r="G205" s="17" t="s">
        <v>284</v>
      </c>
      <c r="H205" s="167"/>
      <c r="I205" s="17">
        <v>101</v>
      </c>
      <c r="J205" s="17"/>
      <c r="K205" s="17"/>
      <c r="L205" s="17"/>
      <c r="M205" s="163"/>
      <c r="N205" s="165">
        <f t="shared" si="55"/>
        <v>0</v>
      </c>
      <c r="O205" s="14" t="s">
        <v>261</v>
      </c>
      <c r="P205" s="38"/>
      <c r="Q205" s="165">
        <f t="shared" si="56"/>
        <v>0</v>
      </c>
      <c r="R205" s="165">
        <f t="shared" si="57"/>
        <v>0</v>
      </c>
      <c r="S205" s="17" t="s">
        <v>311</v>
      </c>
      <c r="T205" s="17"/>
      <c r="U205" s="104"/>
      <c r="W205" s="154"/>
      <c r="X205" s="119">
        <v>269</v>
      </c>
      <c r="Y205" s="111"/>
      <c r="Z205" s="118">
        <v>1</v>
      </c>
      <c r="AA205" s="111"/>
      <c r="AB205" s="117" t="str">
        <f>VLOOKUP(O205,{"甲级","1.2";"乙级","1.0";"丙级","0.8";"试验","0.1"},2,0)</f>
        <v>0.1</v>
      </c>
      <c r="AC205" s="111"/>
      <c r="AD205" s="130">
        <f t="shared" si="58"/>
        <v>-269</v>
      </c>
      <c r="AE205" s="130">
        <f t="shared" si="59"/>
        <v>-1</v>
      </c>
      <c r="AF205" s="130">
        <f t="shared" si="60"/>
        <v>-0.1</v>
      </c>
      <c r="AG205" s="131"/>
      <c r="AH205" s="131"/>
      <c r="AI205" s="131"/>
      <c r="AJ205" s="131"/>
      <c r="AK205" s="131"/>
      <c r="AL205" s="131"/>
      <c r="AM205" s="131"/>
      <c r="AN205" s="131"/>
      <c r="AO205" s="131"/>
    </row>
    <row r="206" spans="1:41" s="47" customFormat="1" ht="14.4" x14ac:dyDescent="0.25">
      <c r="A206" s="14">
        <v>202</v>
      </c>
      <c r="B206" s="209"/>
      <c r="C206" s="209"/>
      <c r="D206" s="208"/>
      <c r="E206" s="14" t="s">
        <v>323</v>
      </c>
      <c r="F206" s="14" t="s">
        <v>322</v>
      </c>
      <c r="G206" s="17" t="s">
        <v>284</v>
      </c>
      <c r="H206" s="167"/>
      <c r="I206" s="17"/>
      <c r="J206" s="17"/>
      <c r="K206" s="17"/>
      <c r="L206" s="17"/>
      <c r="M206" s="163"/>
      <c r="N206" s="165">
        <f t="shared" si="55"/>
        <v>0</v>
      </c>
      <c r="O206" s="14" t="s">
        <v>261</v>
      </c>
      <c r="P206" s="38"/>
      <c r="Q206" s="165">
        <f t="shared" si="56"/>
        <v>0</v>
      </c>
      <c r="R206" s="165">
        <f t="shared" si="57"/>
        <v>0</v>
      </c>
      <c r="S206" s="17" t="s">
        <v>311</v>
      </c>
      <c r="T206" s="17"/>
      <c r="U206" s="104"/>
      <c r="W206" s="154"/>
      <c r="X206" s="119">
        <v>289</v>
      </c>
      <c r="Y206" s="111"/>
      <c r="Z206" s="118">
        <v>1</v>
      </c>
      <c r="AA206" s="111"/>
      <c r="AB206" s="117" t="str">
        <f>VLOOKUP(O206,{"甲级","1.2";"乙级","1.0";"丙级","0.8";"试验","0.1"},2,0)</f>
        <v>0.1</v>
      </c>
      <c r="AC206" s="111"/>
      <c r="AD206" s="130">
        <f t="shared" si="58"/>
        <v>-289</v>
      </c>
      <c r="AE206" s="130">
        <f t="shared" si="59"/>
        <v>-1</v>
      </c>
      <c r="AF206" s="130">
        <f t="shared" si="60"/>
        <v>-0.1</v>
      </c>
      <c r="AG206" s="131"/>
      <c r="AH206" s="131"/>
      <c r="AI206" s="131"/>
      <c r="AJ206" s="131"/>
      <c r="AK206" s="131"/>
      <c r="AL206" s="131"/>
      <c r="AM206" s="131"/>
      <c r="AN206" s="131"/>
      <c r="AO206" s="131"/>
    </row>
    <row r="207" spans="1:41" s="47" customFormat="1" ht="14.4" x14ac:dyDescent="0.25">
      <c r="A207" s="14">
        <v>203</v>
      </c>
      <c r="B207" s="209"/>
      <c r="C207" s="209"/>
      <c r="D207" s="208" t="s">
        <v>324</v>
      </c>
      <c r="E207" s="208"/>
      <c r="F207" s="14"/>
      <c r="G207" s="17" t="s">
        <v>310</v>
      </c>
      <c r="H207" s="162"/>
      <c r="I207" s="17">
        <v>36</v>
      </c>
      <c r="J207" s="17"/>
      <c r="K207" s="17"/>
      <c r="L207" s="17"/>
      <c r="M207" s="163"/>
      <c r="N207" s="165">
        <f t="shared" si="55"/>
        <v>0</v>
      </c>
      <c r="O207" s="14" t="s">
        <v>261</v>
      </c>
      <c r="P207" s="38"/>
      <c r="Q207" s="165">
        <f t="shared" si="56"/>
        <v>0</v>
      </c>
      <c r="R207" s="165">
        <f t="shared" si="57"/>
        <v>0</v>
      </c>
      <c r="S207" s="17" t="s">
        <v>311</v>
      </c>
      <c r="T207" s="17"/>
      <c r="U207" s="104"/>
      <c r="W207" s="154"/>
      <c r="X207" s="119">
        <v>26</v>
      </c>
      <c r="Y207" s="111"/>
      <c r="Z207" s="118">
        <v>1</v>
      </c>
      <c r="AA207" s="111"/>
      <c r="AB207" s="117" t="str">
        <f>VLOOKUP(O207,{"甲级","1.2";"乙级","1.0";"丙级","0.8";"试验","0.1"},2,0)</f>
        <v>0.1</v>
      </c>
      <c r="AC207" s="111"/>
      <c r="AD207" s="130">
        <f t="shared" si="58"/>
        <v>-26</v>
      </c>
      <c r="AE207" s="130">
        <f t="shared" si="59"/>
        <v>-1</v>
      </c>
      <c r="AF207" s="130">
        <f t="shared" si="60"/>
        <v>-0.1</v>
      </c>
      <c r="AG207" s="131"/>
      <c r="AH207" s="131"/>
      <c r="AI207" s="131"/>
      <c r="AJ207" s="131"/>
      <c r="AK207" s="131"/>
      <c r="AL207" s="131"/>
      <c r="AM207" s="131"/>
      <c r="AN207" s="131"/>
      <c r="AO207" s="131"/>
    </row>
    <row r="208" spans="1:41" s="47" customFormat="1" ht="22.5" customHeight="1" x14ac:dyDescent="0.25">
      <c r="A208" s="14">
        <v>204</v>
      </c>
      <c r="B208" s="205"/>
      <c r="C208" s="205"/>
      <c r="D208" s="217" t="s">
        <v>392</v>
      </c>
      <c r="E208" s="217"/>
      <c r="F208" s="39"/>
      <c r="G208" s="159" t="s">
        <v>152</v>
      </c>
      <c r="H208" s="166"/>
      <c r="I208" s="17"/>
      <c r="J208" s="17"/>
      <c r="K208" s="17"/>
      <c r="L208" s="17"/>
      <c r="M208" s="163"/>
      <c r="N208" s="165">
        <f t="shared" si="55"/>
        <v>0</v>
      </c>
      <c r="O208" s="14" t="s">
        <v>261</v>
      </c>
      <c r="P208" s="38"/>
      <c r="Q208" s="165">
        <f t="shared" si="56"/>
        <v>0</v>
      </c>
      <c r="R208" s="165">
        <f t="shared" si="57"/>
        <v>0</v>
      </c>
      <c r="S208" s="17" t="s">
        <v>311</v>
      </c>
      <c r="T208" s="17"/>
      <c r="U208" s="104"/>
      <c r="W208" s="154"/>
      <c r="X208" s="119">
        <v>52</v>
      </c>
      <c r="Y208" s="111"/>
      <c r="Z208" s="118">
        <v>1</v>
      </c>
      <c r="AA208" s="111"/>
      <c r="AB208" s="117" t="str">
        <f>VLOOKUP(O208,{"甲级","1.2";"乙级","1.0";"丙级","0.8";"试验","0.1"},2,0)</f>
        <v>0.1</v>
      </c>
      <c r="AC208" s="111"/>
      <c r="AD208" s="130">
        <f t="shared" si="58"/>
        <v>-52</v>
      </c>
      <c r="AE208" s="130">
        <f t="shared" si="59"/>
        <v>-1</v>
      </c>
      <c r="AF208" s="130">
        <f t="shared" si="60"/>
        <v>-0.1</v>
      </c>
      <c r="AG208" s="131"/>
      <c r="AH208" s="131"/>
      <c r="AI208" s="131"/>
      <c r="AJ208" s="131"/>
      <c r="AK208" s="131"/>
      <c r="AL208" s="131"/>
      <c r="AM208" s="131"/>
      <c r="AN208" s="131"/>
      <c r="AO208" s="131"/>
    </row>
    <row r="209" spans="1:41" s="148" customFormat="1" ht="22.5" customHeight="1" x14ac:dyDescent="0.25">
      <c r="A209" s="64" t="s">
        <v>537</v>
      </c>
      <c r="B209" s="229" t="s">
        <v>537</v>
      </c>
      <c r="C209" s="230"/>
      <c r="D209" s="230"/>
      <c r="E209" s="230"/>
      <c r="F209" s="230"/>
      <c r="G209" s="230"/>
      <c r="H209" s="230"/>
      <c r="I209" s="230"/>
      <c r="J209" s="230"/>
      <c r="K209" s="230"/>
      <c r="L209" s="230"/>
      <c r="M209" s="231"/>
      <c r="N209" s="189">
        <f>SUM(N5:N208)</f>
        <v>0</v>
      </c>
      <c r="O209" s="199"/>
      <c r="P209" s="200"/>
      <c r="Q209" s="189">
        <f>SUM(Q5:Q208)</f>
        <v>0</v>
      </c>
      <c r="R209" s="189">
        <f>SUM(R5:R208)</f>
        <v>0</v>
      </c>
      <c r="S209" s="190"/>
      <c r="T209" s="190"/>
      <c r="U209" s="201"/>
      <c r="W209" s="204"/>
      <c r="X209" s="202"/>
      <c r="Y209" s="185"/>
      <c r="Z209" s="203"/>
      <c r="AA209" s="185"/>
      <c r="AB209" s="194"/>
      <c r="AC209" s="185"/>
      <c r="AD209" s="195"/>
      <c r="AE209" s="195"/>
      <c r="AF209" s="195"/>
      <c r="AG209" s="195"/>
      <c r="AH209" s="195"/>
      <c r="AI209" s="195"/>
      <c r="AJ209" s="195"/>
      <c r="AK209" s="195"/>
      <c r="AL209" s="195"/>
      <c r="AM209" s="195"/>
      <c r="AN209" s="195"/>
      <c r="AO209" s="195"/>
    </row>
    <row r="210" spans="1:41" s="47" customFormat="1" ht="22.5" customHeight="1" x14ac:dyDescent="0.25">
      <c r="B210" s="148"/>
      <c r="C210" s="156"/>
      <c r="E210" s="149"/>
      <c r="H210" s="168"/>
      <c r="M210" s="169"/>
      <c r="N210" s="170"/>
      <c r="P210" s="171"/>
      <c r="Q210" s="172"/>
      <c r="R210" s="172"/>
      <c r="U210" s="104"/>
      <c r="W210" s="154"/>
      <c r="X210" s="65"/>
      <c r="Y210" s="105"/>
      <c r="Z210" s="65"/>
      <c r="AA210" s="105"/>
      <c r="AB210" s="79"/>
      <c r="AC210" s="105"/>
      <c r="AD210" s="96"/>
      <c r="AE210" s="96"/>
      <c r="AF210" s="96"/>
      <c r="AG210" s="96"/>
      <c r="AH210" s="96"/>
      <c r="AI210" s="96"/>
      <c r="AJ210" s="96"/>
      <c r="AK210" s="96"/>
      <c r="AL210" s="96"/>
      <c r="AM210" s="96"/>
      <c r="AN210" s="96"/>
      <c r="AO210" s="96"/>
    </row>
    <row r="211" spans="1:41" ht="22.5" customHeight="1" x14ac:dyDescent="0.25">
      <c r="M211" s="2"/>
      <c r="N211" s="2"/>
      <c r="P211" s="2"/>
      <c r="Q211" s="2"/>
      <c r="Z211" s="108" t="s">
        <v>419</v>
      </c>
      <c r="AB211" s="108" t="s">
        <v>422</v>
      </c>
      <c r="AC211" s="108"/>
    </row>
    <row r="212" spans="1:41" ht="22.5" customHeight="1" x14ac:dyDescent="0.25">
      <c r="M212" s="2"/>
      <c r="N212" s="2"/>
      <c r="P212" s="2"/>
      <c r="Q212" s="2"/>
      <c r="Z212" s="108" t="s">
        <v>112</v>
      </c>
      <c r="AB212" s="108" t="s">
        <v>482</v>
      </c>
      <c r="AC212" s="108"/>
    </row>
    <row r="213" spans="1:41" ht="22.5" customHeight="1" x14ac:dyDescent="0.25">
      <c r="M213" s="2"/>
      <c r="N213" s="2"/>
      <c r="P213" s="2"/>
      <c r="Q213" s="2"/>
      <c r="Z213" s="108" t="s">
        <v>436</v>
      </c>
      <c r="AB213" s="108"/>
      <c r="AC213" s="108"/>
    </row>
    <row r="214" spans="1:41" ht="22.5" customHeight="1" x14ac:dyDescent="0.25">
      <c r="M214" s="2"/>
      <c r="N214" s="2"/>
      <c r="P214" s="2"/>
      <c r="Q214" s="2"/>
      <c r="Z214" s="108"/>
      <c r="AB214" s="108"/>
      <c r="AC214" s="108"/>
    </row>
    <row r="215" spans="1:41" ht="22.5" customHeight="1" x14ac:dyDescent="0.25">
      <c r="M215" s="2"/>
      <c r="N215" s="2"/>
      <c r="P215" s="2"/>
      <c r="Q215" s="2"/>
      <c r="Z215" s="108"/>
      <c r="AB215" s="108"/>
      <c r="AC215" s="108"/>
    </row>
    <row r="216" spans="1:41" ht="22.5" customHeight="1" x14ac:dyDescent="0.25">
      <c r="M216" s="2"/>
      <c r="N216" s="2"/>
      <c r="P216" s="2"/>
      <c r="Q216" s="2"/>
      <c r="Z216" s="108"/>
      <c r="AB216" s="108"/>
      <c r="AC216" s="108"/>
    </row>
    <row r="217" spans="1:41" ht="22.5" customHeight="1" x14ac:dyDescent="0.25">
      <c r="M217" s="2"/>
      <c r="N217" s="2"/>
      <c r="P217" s="2"/>
      <c r="Q217" s="2"/>
      <c r="Z217" s="108"/>
      <c r="AB217" s="108"/>
      <c r="AC217" s="108"/>
    </row>
    <row r="218" spans="1:41" ht="22.5" customHeight="1" x14ac:dyDescent="0.25">
      <c r="M218" s="2"/>
      <c r="N218" s="2"/>
      <c r="P218" s="2"/>
      <c r="Q218" s="2"/>
      <c r="Z218" s="108" t="s">
        <v>424</v>
      </c>
      <c r="AB218" s="108"/>
      <c r="AC218" s="108"/>
    </row>
  </sheetData>
  <autoFilter ref="A3:AT209" xr:uid="{00000000-0001-0000-0400-000000000000}">
    <filterColumn colId="1" showButton="0"/>
  </autoFilter>
  <mergeCells count="93">
    <mergeCell ref="B209:M209"/>
    <mergeCell ref="T2:T3"/>
    <mergeCell ref="A1:S1"/>
    <mergeCell ref="B2:G2"/>
    <mergeCell ref="H2:N2"/>
    <mergeCell ref="O2:Q2"/>
    <mergeCell ref="B3:C3"/>
    <mergeCell ref="S2:S3"/>
    <mergeCell ref="B5:C5"/>
    <mergeCell ref="D91:E91"/>
    <mergeCell ref="D98:F98"/>
    <mergeCell ref="C113:F113"/>
    <mergeCell ref="D120:E120"/>
    <mergeCell ref="C98:C103"/>
    <mergeCell ref="C104:C108"/>
    <mergeCell ref="C109:C112"/>
    <mergeCell ref="C56:D59"/>
    <mergeCell ref="C60:D61"/>
    <mergeCell ref="C62:D66"/>
    <mergeCell ref="C67:D69"/>
    <mergeCell ref="D121:E121"/>
    <mergeCell ref="E100:E101"/>
    <mergeCell ref="E102:E103"/>
    <mergeCell ref="D129:D131"/>
    <mergeCell ref="C114:C117"/>
    <mergeCell ref="C118:C119"/>
    <mergeCell ref="C120:C121"/>
    <mergeCell ref="C124:C128"/>
    <mergeCell ref="C129:C131"/>
    <mergeCell ref="D189:D192"/>
    <mergeCell ref="D136:E136"/>
    <mergeCell ref="D137:E137"/>
    <mergeCell ref="D138:E138"/>
    <mergeCell ref="D139:E139"/>
    <mergeCell ref="D161:F161"/>
    <mergeCell ref="D140:D160"/>
    <mergeCell ref="E185:E186"/>
    <mergeCell ref="E187:E188"/>
    <mergeCell ref="D162:E162"/>
    <mergeCell ref="D167:D168"/>
    <mergeCell ref="D170:D171"/>
    <mergeCell ref="D172:D173"/>
    <mergeCell ref="D174:D175"/>
    <mergeCell ref="D176:D177"/>
    <mergeCell ref="D185:D188"/>
    <mergeCell ref="D207:E207"/>
    <mergeCell ref="D208:E208"/>
    <mergeCell ref="A2:A3"/>
    <mergeCell ref="B95:B97"/>
    <mergeCell ref="B98:B161"/>
    <mergeCell ref="B162:B208"/>
    <mergeCell ref="C6:C39"/>
    <mergeCell ref="C40:C55"/>
    <mergeCell ref="C70:C77"/>
    <mergeCell ref="C78:C84"/>
    <mergeCell ref="C86:C89"/>
    <mergeCell ref="C91:C94"/>
    <mergeCell ref="C95:C96"/>
    <mergeCell ref="D178:D181"/>
    <mergeCell ref="D182:D184"/>
    <mergeCell ref="C122:C123"/>
    <mergeCell ref="C132:C136"/>
    <mergeCell ref="C137:C138"/>
    <mergeCell ref="D88:D89"/>
    <mergeCell ref="D92:D94"/>
    <mergeCell ref="D95:D96"/>
    <mergeCell ref="D99:D103"/>
    <mergeCell ref="D104:D108"/>
    <mergeCell ref="D109:D112"/>
    <mergeCell ref="D114:D117"/>
    <mergeCell ref="D118:D119"/>
    <mergeCell ref="D132:E132"/>
    <mergeCell ref="D133:E133"/>
    <mergeCell ref="D134:E134"/>
    <mergeCell ref="D135:E135"/>
    <mergeCell ref="D122:D123"/>
    <mergeCell ref="D124:D128"/>
    <mergeCell ref="B6:B85"/>
    <mergeCell ref="B86:B94"/>
    <mergeCell ref="D200:D201"/>
    <mergeCell ref="D202:D203"/>
    <mergeCell ref="D205:D206"/>
    <mergeCell ref="D193:E193"/>
    <mergeCell ref="D194:E194"/>
    <mergeCell ref="D195:E195"/>
    <mergeCell ref="C140:C160"/>
    <mergeCell ref="C162:C195"/>
    <mergeCell ref="C197:C208"/>
    <mergeCell ref="D6:D39"/>
    <mergeCell ref="D40:D55"/>
    <mergeCell ref="D70:D77"/>
    <mergeCell ref="D78:D84"/>
    <mergeCell ref="D86:D87"/>
  </mergeCells>
  <phoneticPr fontId="9" type="noConversion"/>
  <conditionalFormatting sqref="AD1:AF1048576">
    <cfRule type="cellIs" dxfId="0" priority="1" operator="equal">
      <formula>0</formula>
    </cfRule>
  </conditionalFormatting>
  <dataValidations count="13">
    <dataValidation type="list" allowBlank="1" showInputMessage="1" showErrorMessage="1" sqref="M98 M109 M118 M137:M138" xr:uid="{00000000-0002-0000-0400-000000000000}">
      <formula1>"1.0,1.1,1.2,1.3,1.5,1.7,2.0,2.5,3.0"</formula1>
    </dataValidation>
    <dataValidation type="list" allowBlank="1" showInputMessage="1" showErrorMessage="1" sqref="F6:F50 F56:F61 F70:F77" xr:uid="{00000000-0002-0000-0400-000001000000}">
      <formula1>"Ⅰ,Ⅱ,Ⅲ,Ⅳ,Ⅴ,Ⅵ"</formula1>
    </dataValidation>
    <dataValidation allowBlank="1" showInputMessage="1" showErrorMessage="1" sqref="F51:F55 F64:F66 F85:F94 F114:F131 F137:F139" xr:uid="{00000000-0002-0000-0400-000002000000}"/>
    <dataValidation type="list" allowBlank="1" showInputMessage="1" showErrorMessage="1" sqref="F62:F63" xr:uid="{00000000-0002-0000-0400-000003000000}">
      <formula1>"≤30m,＞30m"</formula1>
    </dataValidation>
    <dataValidation type="list" allowBlank="1" showInputMessage="1" showErrorMessage="1" sqref="F67:F69 F78:F84" xr:uid="{00000000-0002-0000-0400-000004000000}">
      <formula1>"Ⅰ,Ⅱ,Ⅲ"</formula1>
    </dataValidation>
    <dataValidation type="list" allowBlank="1" showInputMessage="1" showErrorMessage="1" sqref="F95:F97 F132:F136 O90:O94" xr:uid="{00000000-0002-0000-0400-000005000000}">
      <formula1>"简单,中等,复杂"</formula1>
    </dataValidation>
    <dataValidation type="list" allowBlank="1" showInputMessage="1" showErrorMessage="1" sqref="M6:M39" xr:uid="{00000000-0002-0000-0400-000006000000}">
      <formula1>"1.0,1.1,1.2,1.3,1.5,1.8,2.0"</formula1>
    </dataValidation>
    <dataValidation type="list" allowBlank="1" showInputMessage="1" showErrorMessage="1" sqref="M40:M55" xr:uid="{00000000-0002-0000-0400-000007000000}">
      <formula1>"1.2,1.3,1.5,2.0,2.5,3.0"</formula1>
    </dataValidation>
    <dataValidation type="list" allowBlank="1" showInputMessage="1" showErrorMessage="1" sqref="M56:M85" xr:uid="{00000000-0002-0000-0400-000008000000}">
      <formula1>"1.0,1.1,1.2,1.3,1.5,2.0"</formula1>
    </dataValidation>
    <dataValidation type="list" allowBlank="1" showInputMessage="1" showErrorMessage="1" sqref="M86:M97 M99:M108 M110:M117 M119:M136 M139:M160" xr:uid="{00000000-0002-0000-0400-000009000000}">
      <formula1>"1.0,1.1,1.2,1.3,1.5,2.0,2.5,3.0"</formula1>
    </dataValidation>
    <dataValidation type="list" allowBlank="1" showInputMessage="1" showErrorMessage="1" sqref="O5:O89" xr:uid="{00000000-0002-0000-0400-00000A000000}">
      <formula1>"甲级,乙级,丙级"</formula1>
    </dataValidation>
    <dataValidation type="list" allowBlank="1" showInputMessage="1" showErrorMessage="1" sqref="O98:O161" xr:uid="{00000000-0002-0000-0400-00000B000000}">
      <formula1>"甲级,乙级,丙级,物探"</formula1>
    </dataValidation>
    <dataValidation type="list" allowBlank="1" showInputMessage="1" showErrorMessage="1" sqref="O162:O208" xr:uid="{00000000-0002-0000-0400-00000C000000}">
      <formula1>"甲级,乙级,丙级,试验"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7"/>
  </sheetPr>
  <dimension ref="A1:U17"/>
  <sheetViews>
    <sheetView workbookViewId="0">
      <selection sqref="A1:R1"/>
    </sheetView>
  </sheetViews>
  <sheetFormatPr defaultColWidth="9" defaultRowHeight="22.5" customHeight="1" outlineLevelCol="1" x14ac:dyDescent="0.25"/>
  <cols>
    <col min="1" max="1" width="5.6640625" style="2" customWidth="1"/>
    <col min="2" max="2" width="5.44140625" style="2" customWidth="1"/>
    <col min="3" max="3" width="12.21875" style="2" customWidth="1"/>
    <col min="4" max="4" width="11.21875" style="2" customWidth="1"/>
    <col min="5" max="5" width="6.44140625" style="3" customWidth="1"/>
    <col min="6" max="6" width="7.44140625" style="2" customWidth="1"/>
    <col min="7" max="7" width="9.21875" style="2" customWidth="1"/>
    <col min="8" max="8" width="9.77734375" style="4" customWidth="1"/>
    <col min="9" max="9" width="9.88671875" style="2" customWidth="1"/>
    <col min="10" max="11" width="9" style="5" hidden="1" customWidth="1" outlineLevel="1"/>
    <col min="12" max="12" width="9" style="5" hidden="1" outlineLevel="1"/>
    <col min="13" max="13" width="8.109375" style="6" customWidth="1" collapsed="1"/>
    <col min="14" max="14" width="8.88671875" style="7" customWidth="1"/>
    <col min="15" max="15" width="8.77734375" style="2" customWidth="1"/>
    <col min="16" max="16" width="8.44140625" style="8" customWidth="1"/>
    <col min="17" max="17" width="9.21875" style="9" customWidth="1"/>
    <col min="18" max="18" width="11.21875" style="9" customWidth="1"/>
    <col min="19" max="16384" width="9" style="1"/>
  </cols>
  <sheetData>
    <row r="1" spans="1:21" ht="36" customHeight="1" x14ac:dyDescent="0.25">
      <c r="A1" s="293" t="s">
        <v>389</v>
      </c>
      <c r="B1" s="293"/>
      <c r="C1" s="293"/>
      <c r="D1" s="293"/>
      <c r="E1" s="293"/>
      <c r="F1" s="293"/>
      <c r="G1" s="293"/>
      <c r="H1" s="293"/>
      <c r="I1" s="293"/>
      <c r="J1" s="294"/>
      <c r="K1" s="294"/>
      <c r="L1" s="294"/>
      <c r="M1" s="293"/>
      <c r="N1" s="293"/>
      <c r="O1" s="293"/>
      <c r="P1" s="293"/>
      <c r="Q1" s="293"/>
      <c r="R1" s="293"/>
    </row>
    <row r="2" spans="1:21" ht="22.5" customHeight="1" x14ac:dyDescent="0.25">
      <c r="A2" s="209" t="s">
        <v>1</v>
      </c>
      <c r="B2" s="243" t="s">
        <v>21</v>
      </c>
      <c r="C2" s="243"/>
      <c r="D2" s="243"/>
      <c r="E2" s="243"/>
      <c r="F2" s="243"/>
      <c r="G2" s="243"/>
      <c r="H2" s="244" t="s">
        <v>38</v>
      </c>
      <c r="I2" s="209"/>
      <c r="J2" s="295"/>
      <c r="K2" s="295"/>
      <c r="L2" s="295"/>
      <c r="M2" s="209"/>
      <c r="N2" s="245"/>
      <c r="O2" s="209" t="s">
        <v>39</v>
      </c>
      <c r="P2" s="246"/>
      <c r="Q2" s="247"/>
      <c r="R2" s="32" t="s">
        <v>97</v>
      </c>
    </row>
    <row r="3" spans="1:21" ht="34.950000000000003" customHeight="1" x14ac:dyDescent="0.25">
      <c r="A3" s="218"/>
      <c r="B3" s="209" t="s">
        <v>2</v>
      </c>
      <c r="C3" s="209"/>
      <c r="D3" s="11" t="s">
        <v>43</v>
      </c>
      <c r="E3" s="16" t="s">
        <v>44</v>
      </c>
      <c r="F3" s="11" t="s">
        <v>98</v>
      </c>
      <c r="G3" s="11" t="s">
        <v>27</v>
      </c>
      <c r="H3" s="15" t="s">
        <v>28</v>
      </c>
      <c r="I3" s="11" t="s">
        <v>107</v>
      </c>
      <c r="J3" s="22"/>
      <c r="K3" s="22"/>
      <c r="L3" s="22"/>
      <c r="M3" s="26" t="s">
        <v>30</v>
      </c>
      <c r="N3" s="25" t="s">
        <v>13</v>
      </c>
      <c r="O3" s="11" t="s">
        <v>44</v>
      </c>
      <c r="P3" s="25" t="s">
        <v>45</v>
      </c>
      <c r="Q3" s="11" t="s">
        <v>13</v>
      </c>
      <c r="R3" s="32" t="s">
        <v>100</v>
      </c>
      <c r="S3" s="33"/>
      <c r="T3" s="33" t="s">
        <v>41</v>
      </c>
      <c r="U3" s="33" t="s">
        <v>42</v>
      </c>
    </row>
    <row r="4" spans="1:21" ht="22.5" customHeight="1" x14ac:dyDescent="0.25">
      <c r="A4" s="12">
        <v>1</v>
      </c>
      <c r="B4" s="277"/>
      <c r="C4" s="291" t="s">
        <v>325</v>
      </c>
      <c r="D4" s="292"/>
      <c r="E4" s="292"/>
      <c r="F4" s="292"/>
      <c r="G4" s="17" t="s">
        <v>326</v>
      </c>
      <c r="H4" s="18">
        <v>2000</v>
      </c>
      <c r="I4" s="17">
        <v>1</v>
      </c>
      <c r="J4" s="23"/>
      <c r="K4" s="23"/>
      <c r="L4" s="23"/>
      <c r="M4" s="27"/>
      <c r="N4" s="28">
        <f>I4*H4</f>
        <v>2000</v>
      </c>
      <c r="O4" s="19"/>
      <c r="P4" s="29"/>
      <c r="Q4" s="34"/>
      <c r="R4" s="35">
        <f>N4+Q4</f>
        <v>2000</v>
      </c>
    </row>
    <row r="5" spans="1:21" ht="22.5" customHeight="1" x14ac:dyDescent="0.25">
      <c r="A5" s="12">
        <v>2</v>
      </c>
      <c r="B5" s="277"/>
      <c r="C5" s="291" t="s">
        <v>327</v>
      </c>
      <c r="D5" s="292"/>
      <c r="E5" s="292"/>
      <c r="F5" s="292"/>
      <c r="G5" s="17" t="s">
        <v>306</v>
      </c>
      <c r="H5" s="18">
        <v>200000</v>
      </c>
      <c r="I5" s="17">
        <v>1</v>
      </c>
      <c r="J5" s="23"/>
      <c r="K5" s="23"/>
      <c r="L5" s="23"/>
      <c r="M5" s="27"/>
      <c r="N5" s="28">
        <f>I5*H5</f>
        <v>200000</v>
      </c>
      <c r="O5" s="19"/>
      <c r="P5" s="29"/>
      <c r="Q5" s="34"/>
      <c r="R5" s="35">
        <f>N5+Q5</f>
        <v>200000</v>
      </c>
    </row>
    <row r="6" spans="1:21" ht="22.5" customHeight="1" x14ac:dyDescent="0.25">
      <c r="A6" s="12">
        <v>3</v>
      </c>
      <c r="B6" s="290"/>
      <c r="C6" s="291" t="s">
        <v>328</v>
      </c>
      <c r="D6" s="292"/>
      <c r="E6" s="292"/>
      <c r="F6" s="292"/>
      <c r="G6" s="17" t="s">
        <v>306</v>
      </c>
      <c r="H6" s="18">
        <v>1000</v>
      </c>
      <c r="I6" s="17">
        <v>3</v>
      </c>
      <c r="J6" s="23"/>
      <c r="K6" s="23"/>
      <c r="L6" s="23"/>
      <c r="M6" s="27"/>
      <c r="N6" s="28">
        <f>I6*H6</f>
        <v>3000</v>
      </c>
      <c r="O6" s="19"/>
      <c r="P6" s="29"/>
      <c r="Q6" s="34"/>
      <c r="R6" s="35">
        <f>N6+Q6</f>
        <v>3000</v>
      </c>
    </row>
    <row r="7" spans="1:21" ht="22.5" customHeight="1" x14ac:dyDescent="0.25">
      <c r="A7" s="12">
        <v>4</v>
      </c>
      <c r="B7" s="290"/>
      <c r="C7" s="291" t="s">
        <v>329</v>
      </c>
      <c r="D7" s="292"/>
      <c r="E7" s="292"/>
      <c r="F7" s="292"/>
      <c r="G7" s="17" t="s">
        <v>306</v>
      </c>
      <c r="H7" s="18">
        <v>10000</v>
      </c>
      <c r="I7" s="17"/>
      <c r="J7" s="23"/>
      <c r="K7" s="23"/>
      <c r="L7" s="23"/>
      <c r="M7" s="27"/>
      <c r="N7" s="28">
        <f t="shared" ref="N7:N16" si="0">I7*H7</f>
        <v>0</v>
      </c>
      <c r="O7" s="19"/>
      <c r="P7" s="29"/>
      <c r="Q7" s="34"/>
      <c r="R7" s="35">
        <f t="shared" ref="R7:R16" si="1">N7+Q7</f>
        <v>0</v>
      </c>
    </row>
    <row r="8" spans="1:21" ht="22.5" customHeight="1" x14ac:dyDescent="0.25">
      <c r="A8" s="12">
        <v>5</v>
      </c>
      <c r="B8" s="290"/>
      <c r="C8" s="291" t="s">
        <v>330</v>
      </c>
      <c r="D8" s="292"/>
      <c r="E8" s="292"/>
      <c r="F8" s="292"/>
      <c r="G8" s="17" t="s">
        <v>168</v>
      </c>
      <c r="H8" s="18"/>
      <c r="I8" s="17"/>
      <c r="J8" s="23"/>
      <c r="K8" s="23"/>
      <c r="L8" s="23"/>
      <c r="M8" s="27"/>
      <c r="N8" s="28">
        <f t="shared" si="0"/>
        <v>0</v>
      </c>
      <c r="O8" s="19"/>
      <c r="P8" s="29"/>
      <c r="Q8" s="34"/>
      <c r="R8" s="35">
        <f t="shared" si="1"/>
        <v>0</v>
      </c>
    </row>
    <row r="9" spans="1:21" ht="27" customHeight="1" x14ac:dyDescent="0.25">
      <c r="A9" s="12">
        <v>6</v>
      </c>
      <c r="B9" s="290"/>
      <c r="C9" s="291" t="s">
        <v>331</v>
      </c>
      <c r="D9" s="292"/>
      <c r="E9" s="292"/>
      <c r="F9" s="292"/>
      <c r="G9" s="17" t="s">
        <v>168</v>
      </c>
      <c r="H9" s="18">
        <v>2000</v>
      </c>
      <c r="I9" s="17">
        <v>18</v>
      </c>
      <c r="J9" s="23"/>
      <c r="K9" s="23"/>
      <c r="L9" s="23"/>
      <c r="M9" s="27"/>
      <c r="N9" s="28">
        <f t="shared" si="0"/>
        <v>36000</v>
      </c>
      <c r="O9" s="19"/>
      <c r="P9" s="29"/>
      <c r="Q9" s="34"/>
      <c r="R9" s="35">
        <f t="shared" si="1"/>
        <v>36000</v>
      </c>
    </row>
    <row r="10" spans="1:21" ht="22.5" customHeight="1" x14ac:dyDescent="0.25">
      <c r="A10" s="12">
        <v>7</v>
      </c>
      <c r="B10" s="290"/>
      <c r="C10" s="291" t="s">
        <v>332</v>
      </c>
      <c r="D10" s="292"/>
      <c r="E10" s="292"/>
      <c r="F10" s="292"/>
      <c r="G10" s="17" t="s">
        <v>168</v>
      </c>
      <c r="H10" s="18">
        <v>500</v>
      </c>
      <c r="I10" s="17">
        <v>23</v>
      </c>
      <c r="J10" s="23"/>
      <c r="K10" s="23"/>
      <c r="L10" s="23"/>
      <c r="M10" s="27"/>
      <c r="N10" s="28">
        <f t="shared" si="0"/>
        <v>11500</v>
      </c>
      <c r="O10" s="19"/>
      <c r="P10" s="29"/>
      <c r="Q10" s="34"/>
      <c r="R10" s="35">
        <f t="shared" si="1"/>
        <v>11500</v>
      </c>
    </row>
    <row r="11" spans="1:21" ht="22.5" customHeight="1" x14ac:dyDescent="0.25">
      <c r="A11" s="12">
        <v>8</v>
      </c>
      <c r="B11" s="290"/>
      <c r="C11" s="291" t="s">
        <v>333</v>
      </c>
      <c r="D11" s="292"/>
      <c r="E11" s="292"/>
      <c r="F11" s="292"/>
      <c r="G11" s="17" t="s">
        <v>168</v>
      </c>
      <c r="H11" s="18">
        <v>10000</v>
      </c>
      <c r="I11" s="17">
        <v>5</v>
      </c>
      <c r="J11" s="23"/>
      <c r="K11" s="23"/>
      <c r="L11" s="23"/>
      <c r="M11" s="27"/>
      <c r="N11" s="28">
        <f t="shared" si="0"/>
        <v>50000</v>
      </c>
      <c r="O11" s="19"/>
      <c r="P11" s="29"/>
      <c r="Q11" s="34"/>
      <c r="R11" s="35">
        <f t="shared" si="1"/>
        <v>50000</v>
      </c>
    </row>
    <row r="12" spans="1:21" ht="22.5" customHeight="1" x14ac:dyDescent="0.25">
      <c r="A12" s="12">
        <v>9</v>
      </c>
      <c r="B12" s="290"/>
      <c r="C12" s="291" t="s">
        <v>334</v>
      </c>
      <c r="D12" s="292"/>
      <c r="E12" s="292"/>
      <c r="F12" s="292"/>
      <c r="G12" s="17" t="s">
        <v>168</v>
      </c>
      <c r="H12" s="18">
        <v>1000</v>
      </c>
      <c r="I12" s="17">
        <v>23</v>
      </c>
      <c r="J12" s="23"/>
      <c r="K12" s="23"/>
      <c r="L12" s="23"/>
      <c r="M12" s="27"/>
      <c r="N12" s="28">
        <f t="shared" si="0"/>
        <v>23000</v>
      </c>
      <c r="O12" s="19"/>
      <c r="P12" s="29"/>
      <c r="Q12" s="34"/>
      <c r="R12" s="35">
        <f t="shared" si="1"/>
        <v>23000</v>
      </c>
    </row>
    <row r="13" spans="1:21" ht="22.5" customHeight="1" x14ac:dyDescent="0.25">
      <c r="A13" s="12">
        <v>10</v>
      </c>
      <c r="B13" s="290"/>
      <c r="C13" s="291" t="s">
        <v>335</v>
      </c>
      <c r="D13" s="292"/>
      <c r="E13" s="292"/>
      <c r="F13" s="292"/>
      <c r="G13" s="17" t="s">
        <v>326</v>
      </c>
      <c r="H13" s="18">
        <v>10000</v>
      </c>
      <c r="I13" s="17">
        <v>2</v>
      </c>
      <c r="J13" s="23"/>
      <c r="K13" s="23"/>
      <c r="L13" s="23"/>
      <c r="M13" s="27"/>
      <c r="N13" s="28">
        <f t="shared" si="0"/>
        <v>20000</v>
      </c>
      <c r="O13" s="19"/>
      <c r="P13" s="29"/>
      <c r="Q13" s="34"/>
      <c r="R13" s="35">
        <f t="shared" si="1"/>
        <v>20000</v>
      </c>
    </row>
    <row r="14" spans="1:21" ht="22.5" customHeight="1" x14ac:dyDescent="0.25">
      <c r="A14" s="12">
        <v>11</v>
      </c>
      <c r="B14" s="290"/>
      <c r="C14" s="288" t="s">
        <v>336</v>
      </c>
      <c r="D14" s="289"/>
      <c r="E14" s="289"/>
      <c r="F14" s="289"/>
      <c r="G14" s="17" t="s">
        <v>168</v>
      </c>
      <c r="H14" s="18">
        <v>1500</v>
      </c>
      <c r="I14" s="17">
        <v>18</v>
      </c>
      <c r="J14" s="23"/>
      <c r="K14" s="23"/>
      <c r="L14" s="23"/>
      <c r="M14" s="27"/>
      <c r="N14" s="28">
        <f t="shared" si="0"/>
        <v>27000</v>
      </c>
      <c r="O14" s="19"/>
      <c r="P14" s="29"/>
      <c r="Q14" s="34"/>
      <c r="R14" s="35">
        <f t="shared" si="1"/>
        <v>27000</v>
      </c>
    </row>
    <row r="15" spans="1:21" ht="22.5" customHeight="1" x14ac:dyDescent="0.25">
      <c r="A15" s="12">
        <v>12</v>
      </c>
      <c r="B15" s="13"/>
      <c r="C15" s="288" t="s">
        <v>337</v>
      </c>
      <c r="D15" s="289"/>
      <c r="E15" s="289"/>
      <c r="F15" s="289"/>
      <c r="G15" s="17" t="s">
        <v>152</v>
      </c>
      <c r="H15" s="19">
        <v>10</v>
      </c>
      <c r="I15" s="17">
        <v>106</v>
      </c>
      <c r="J15" s="23"/>
      <c r="K15" s="23"/>
      <c r="L15" s="23"/>
      <c r="M15" s="27"/>
      <c r="N15" s="28">
        <f t="shared" si="0"/>
        <v>1060</v>
      </c>
      <c r="O15" s="19"/>
      <c r="P15" s="29"/>
      <c r="Q15" s="34"/>
      <c r="R15" s="35">
        <f t="shared" si="1"/>
        <v>1060</v>
      </c>
    </row>
    <row r="16" spans="1:21" ht="22.5" customHeight="1" x14ac:dyDescent="0.25">
      <c r="A16" s="12">
        <v>13</v>
      </c>
      <c r="B16" s="13"/>
      <c r="C16" s="288" t="s">
        <v>338</v>
      </c>
      <c r="D16" s="289"/>
      <c r="E16" s="289"/>
      <c r="F16" s="289"/>
      <c r="G16" s="17" t="s">
        <v>326</v>
      </c>
      <c r="H16" s="18">
        <v>10000</v>
      </c>
      <c r="I16" s="17">
        <v>2</v>
      </c>
      <c r="J16" s="23"/>
      <c r="K16" s="23"/>
      <c r="L16" s="23"/>
      <c r="M16" s="27"/>
      <c r="N16" s="28">
        <f t="shared" si="0"/>
        <v>20000</v>
      </c>
      <c r="O16" s="19"/>
      <c r="P16" s="29"/>
      <c r="Q16" s="34"/>
      <c r="R16" s="35">
        <f t="shared" si="1"/>
        <v>20000</v>
      </c>
    </row>
    <row r="17" spans="1:18" ht="22.5" customHeight="1" x14ac:dyDescent="0.25">
      <c r="A17" s="208" t="s">
        <v>37</v>
      </c>
      <c r="B17" s="208"/>
      <c r="C17" s="208"/>
      <c r="D17" s="208"/>
      <c r="E17" s="208"/>
      <c r="F17" s="208"/>
      <c r="G17" s="20"/>
      <c r="H17" s="21"/>
      <c r="I17" s="20"/>
      <c r="J17" s="24"/>
      <c r="K17" s="24"/>
      <c r="L17" s="24"/>
      <c r="M17" s="20"/>
      <c r="N17" s="30">
        <f>SUM(N4:N16)</f>
        <v>393560</v>
      </c>
      <c r="O17" s="20"/>
      <c r="P17" s="31"/>
      <c r="Q17" s="36">
        <f>SUM(Q4:Q14)</f>
        <v>0</v>
      </c>
      <c r="R17" s="30">
        <f>SUM(R4:R16)</f>
        <v>393560</v>
      </c>
    </row>
  </sheetData>
  <mergeCells count="21">
    <mergeCell ref="A1:R1"/>
    <mergeCell ref="B2:G2"/>
    <mergeCell ref="H2:N2"/>
    <mergeCell ref="O2:Q2"/>
    <mergeCell ref="B3:C3"/>
    <mergeCell ref="C14:F14"/>
    <mergeCell ref="C15:F15"/>
    <mergeCell ref="C16:F16"/>
    <mergeCell ref="A17:F17"/>
    <mergeCell ref="A2:A3"/>
    <mergeCell ref="B4:B14"/>
    <mergeCell ref="C9:F9"/>
    <mergeCell ref="C10:F10"/>
    <mergeCell ref="C11:F11"/>
    <mergeCell ref="C12:F12"/>
    <mergeCell ref="C13:F13"/>
    <mergeCell ref="C4:F4"/>
    <mergeCell ref="C5:F5"/>
    <mergeCell ref="C6:F6"/>
    <mergeCell ref="C7:F7"/>
    <mergeCell ref="C8:F8"/>
  </mergeCells>
  <phoneticPr fontId="9" type="noConversion"/>
  <dataValidations count="1">
    <dataValidation type="list" allowBlank="1" showInputMessage="1" showErrorMessage="1" sqref="O4:O16" xr:uid="{00000000-0002-0000-0500-000000000000}">
      <formula1>"甲级,乙级,丙级,试验"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9</vt:i4>
      </vt:variant>
    </vt:vector>
  </HeadingPairs>
  <TitlesOfParts>
    <vt:vector size="15" baseType="lpstr">
      <vt:lpstr>费用汇总</vt:lpstr>
      <vt:lpstr>表1-长输管道工程勘测费用</vt:lpstr>
      <vt:lpstr>表2-通用工程测量费用</vt:lpstr>
      <vt:lpstr>表3-地质测绘</vt:lpstr>
      <vt:lpstr>表4-通用工程勘察费用</vt:lpstr>
      <vt:lpstr>表5-其他费用</vt:lpstr>
      <vt:lpstr>'表2-通用工程测量费用'!_FilterDatabase</vt:lpstr>
      <vt:lpstr>'表3-地质测绘'!_FilterDatabase</vt:lpstr>
      <vt:lpstr>'表4-通用工程勘察费用'!_FilterDatabase</vt:lpstr>
      <vt:lpstr>'表2-通用工程测量费用'!Print_Area</vt:lpstr>
      <vt:lpstr>'表3-地质测绘'!Print_Area</vt:lpstr>
      <vt:lpstr>'表5-其他费用'!Print_Area</vt:lpstr>
      <vt:lpstr>费用汇总!Print_Area</vt:lpstr>
      <vt:lpstr>'表2-通用工程测量费用'!Print_Titles</vt:lpstr>
      <vt:lpstr>'表4-通用工程勘察费用'!Print_Titles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萌 石</cp:lastModifiedBy>
  <dcterms:created xsi:type="dcterms:W3CDTF">2020-03-06T04:10:00Z</dcterms:created>
  <dcterms:modified xsi:type="dcterms:W3CDTF">2026-06-23T04:42:53Z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2052-12.8.2.19313</vt:lpwstr>
  </property>
  <property fmtid="{D5CDD505-2E9C-101B-9397-08002B2CF9AE}" pid="3" name="ICV">
    <vt:lpwstr>D90FEBA6341958DA7696466841050968_43</vt:lpwstr>
  </property>
</Properties>
</file>